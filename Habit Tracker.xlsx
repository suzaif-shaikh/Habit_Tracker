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6f0fd4bda47793/Documents/Habit Tracker Github/"/>
    </mc:Choice>
  </mc:AlternateContent>
  <xr:revisionPtr revIDLastSave="2761" documentId="8_{D869CAA0-5003-4AAD-8A99-D2BFE92C6D3F}" xr6:coauthVersionLast="47" xr6:coauthVersionMax="47" xr10:uidLastSave="{10722D10-88C0-4414-8A7F-86E83DD48DE5}"/>
  <bookViews>
    <workbookView xWindow="-108" yWindow="-108" windowWidth="23256" windowHeight="13176" xr2:uid="{3B856EB8-CE4A-4001-BC36-220C8D58261C}"/>
  </bookViews>
  <sheets>
    <sheet name="Habit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1" l="1"/>
  <c r="C116" i="1"/>
  <c r="C115" i="1"/>
  <c r="V116" i="1"/>
  <c r="V115" i="1"/>
  <c r="C96" i="1"/>
  <c r="C95" i="1"/>
  <c r="AK81" i="1" s="1"/>
  <c r="AF82" i="1"/>
  <c r="Y82" i="1"/>
  <c r="R82" i="1"/>
  <c r="K82" i="1"/>
  <c r="D82" i="1"/>
  <c r="C74" i="1"/>
  <c r="AK60" i="1" s="1"/>
  <c r="C75" i="1"/>
  <c r="AF61" i="1"/>
  <c r="Y61" i="1"/>
  <c r="R61" i="1"/>
  <c r="K61" i="1"/>
  <c r="D61" i="1"/>
  <c r="AN48" i="1"/>
  <c r="AN49" i="1"/>
  <c r="AN50" i="1"/>
  <c r="AN51" i="1"/>
  <c r="AN52" i="1"/>
  <c r="AN53" i="1"/>
  <c r="AN54" i="1"/>
  <c r="AN55" i="1"/>
  <c r="AN56" i="1"/>
  <c r="AN57" i="1"/>
  <c r="AR27" i="1"/>
  <c r="AQ29" i="1"/>
  <c r="B5" i="1"/>
  <c r="B3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D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D28" i="1"/>
  <c r="D27" i="1" s="1"/>
  <c r="C94" i="1" l="1"/>
  <c r="C97" i="1" s="1"/>
  <c r="B86" i="1" s="1"/>
  <c r="AK102" i="1"/>
  <c r="V114" i="1"/>
  <c r="V117" i="1" s="1"/>
  <c r="R106" i="1" s="1"/>
  <c r="AF24" i="1"/>
  <c r="AF23" i="1" s="1"/>
  <c r="Z24" i="1"/>
  <c r="Z23" i="1" s="1"/>
  <c r="Q24" i="1"/>
  <c r="Q23" i="1" s="1"/>
  <c r="AC24" i="1"/>
  <c r="AC23" i="1" s="1"/>
  <c r="C73" i="1"/>
  <c r="C76" i="1" s="1"/>
  <c r="B65" i="1" s="1"/>
  <c r="C114" i="1"/>
  <c r="C117" i="1" s="1"/>
  <c r="B106" i="1" s="1"/>
  <c r="AG24" i="1"/>
  <c r="AG23" i="1" s="1"/>
  <c r="S24" i="1"/>
  <c r="S23" i="1" s="1"/>
  <c r="AD24" i="1"/>
  <c r="AD23" i="1" s="1"/>
  <c r="AH24" i="1"/>
  <c r="AH23" i="1" s="1"/>
  <c r="AA24" i="1"/>
  <c r="AA23" i="1" s="1"/>
  <c r="U24" i="1"/>
  <c r="U23" i="1" s="1"/>
  <c r="X24" i="1"/>
  <c r="X23" i="1" s="1"/>
  <c r="M24" i="1"/>
  <c r="M23" i="1" s="1"/>
  <c r="E28" i="1"/>
  <c r="AB24" i="1"/>
  <c r="AB23" i="1" s="1"/>
  <c r="N24" i="1"/>
  <c r="N23" i="1" s="1"/>
  <c r="W24" i="1"/>
  <c r="W23" i="1" s="1"/>
  <c r="AE24" i="1"/>
  <c r="AE23" i="1" s="1"/>
  <c r="Y24" i="1"/>
  <c r="Y23" i="1" s="1"/>
  <c r="R24" i="1"/>
  <c r="R23" i="1" s="1"/>
  <c r="J24" i="1"/>
  <c r="J23" i="1" s="1"/>
  <c r="L24" i="1"/>
  <c r="L23" i="1" s="1"/>
  <c r="G24" i="1"/>
  <c r="G23" i="1" s="1"/>
  <c r="D24" i="1"/>
  <c r="F24" i="1"/>
  <c r="F23" i="1" s="1"/>
  <c r="E24" i="1"/>
  <c r="E23" i="1" s="1"/>
  <c r="H24" i="1"/>
  <c r="H23" i="1" s="1"/>
  <c r="T24" i="1"/>
  <c r="T23" i="1" s="1"/>
  <c r="I24" i="1"/>
  <c r="I23" i="1" s="1"/>
  <c r="K24" i="1"/>
  <c r="K23" i="1" s="1"/>
  <c r="V24" i="1"/>
  <c r="V23" i="1" s="1"/>
  <c r="O24" i="1"/>
  <c r="O23" i="1" s="1"/>
  <c r="P24" i="1"/>
  <c r="P23" i="1" s="1"/>
  <c r="D23" i="1" l="1"/>
  <c r="AO10" i="1"/>
  <c r="E27" i="1"/>
  <c r="F28" i="1"/>
  <c r="G28" i="1" l="1"/>
  <c r="F27" i="1"/>
  <c r="H28" i="1" l="1"/>
  <c r="G27" i="1"/>
  <c r="I28" i="1" l="1"/>
  <c r="H27" i="1"/>
  <c r="J28" i="1" l="1"/>
  <c r="I27" i="1"/>
  <c r="K28" i="1" l="1"/>
  <c r="J27" i="1"/>
  <c r="L28" i="1" l="1"/>
  <c r="K27" i="1"/>
  <c r="M28" i="1" l="1"/>
  <c r="L27" i="1"/>
  <c r="N28" i="1" l="1"/>
  <c r="M27" i="1"/>
  <c r="O28" i="1" l="1"/>
  <c r="N27" i="1"/>
  <c r="P28" i="1" l="1"/>
  <c r="O27" i="1"/>
  <c r="Q28" i="1" l="1"/>
  <c r="P27" i="1"/>
  <c r="R28" i="1" l="1"/>
  <c r="Q27" i="1"/>
  <c r="S28" i="1" l="1"/>
  <c r="R27" i="1"/>
  <c r="AN38" i="1" s="1"/>
  <c r="T28" i="1" l="1"/>
  <c r="S27" i="1"/>
  <c r="U28" i="1" l="1"/>
  <c r="T27" i="1"/>
  <c r="V28" i="1" l="1"/>
  <c r="U27" i="1"/>
  <c r="W28" i="1" l="1"/>
  <c r="V27" i="1"/>
  <c r="X28" i="1" l="1"/>
  <c r="W27" i="1"/>
  <c r="Y28" i="1" l="1"/>
  <c r="X27" i="1"/>
  <c r="Z28" i="1" l="1"/>
  <c r="Y27" i="1"/>
  <c r="AA28" i="1" l="1"/>
  <c r="Z27" i="1"/>
  <c r="AB28" i="1" l="1"/>
  <c r="AA27" i="1"/>
  <c r="AC28" i="1" l="1"/>
  <c r="AB27" i="1"/>
  <c r="AD28" i="1" l="1"/>
  <c r="AC27" i="1"/>
  <c r="AE28" i="1" l="1"/>
  <c r="AD27" i="1"/>
  <c r="AF28" i="1" l="1"/>
  <c r="AE27" i="1"/>
  <c r="AN42" i="1" s="1"/>
  <c r="AG28" i="1" l="1"/>
  <c r="AF27" i="1"/>
  <c r="AH28" i="1" l="1"/>
  <c r="AH27" i="1" s="1"/>
  <c r="AG27" i="1"/>
  <c r="AO52" i="1" l="1"/>
  <c r="AO53" i="1"/>
  <c r="AO55" i="1"/>
  <c r="AO54" i="1"/>
  <c r="AO51" i="1"/>
  <c r="AO48" i="1"/>
  <c r="AO49" i="1"/>
  <c r="AO56" i="1"/>
  <c r="AO57" i="1"/>
  <c r="AO50" i="1"/>
  <c r="AO40" i="1"/>
  <c r="AO46" i="1"/>
  <c r="AO41" i="1"/>
  <c r="AO47" i="1"/>
  <c r="AO45" i="1"/>
  <c r="AO42" i="1"/>
  <c r="AO39" i="1"/>
  <c r="AO44" i="1"/>
  <c r="AO43" i="1"/>
  <c r="AN40" i="1"/>
  <c r="AN39" i="1"/>
  <c r="AN41" i="1"/>
  <c r="AN44" i="1"/>
  <c r="AN43" i="1"/>
  <c r="AN45" i="1"/>
  <c r="AN47" i="1"/>
  <c r="AN46" i="1"/>
  <c r="AN34" i="1"/>
  <c r="AN35" i="1"/>
  <c r="AN33" i="1"/>
  <c r="AN37" i="1"/>
  <c r="AN32" i="1"/>
  <c r="AN30" i="1"/>
  <c r="AN31" i="1"/>
  <c r="AN36" i="1"/>
  <c r="AO29" i="1"/>
  <c r="AO35" i="1"/>
  <c r="AO37" i="1"/>
  <c r="AO32" i="1"/>
  <c r="AO33" i="1"/>
  <c r="AO30" i="1"/>
  <c r="AO36" i="1"/>
  <c r="AO38" i="1"/>
  <c r="AO34" i="1"/>
  <c r="AN29" i="1"/>
  <c r="AO31" i="1"/>
  <c r="AJ54" i="1" l="1"/>
  <c r="AK54" i="1"/>
  <c r="AI54" i="1"/>
  <c r="AK55" i="1"/>
  <c r="AJ55" i="1"/>
  <c r="AI55" i="1"/>
  <c r="AJ53" i="1"/>
  <c r="AK53" i="1"/>
  <c r="AI53" i="1"/>
  <c r="AJ52" i="1"/>
  <c r="AI52" i="1"/>
  <c r="AK52" i="1"/>
  <c r="AJ50" i="1"/>
  <c r="AK50" i="1"/>
  <c r="AI50" i="1"/>
  <c r="AK57" i="1"/>
  <c r="AJ57" i="1"/>
  <c r="AI57" i="1"/>
  <c r="AK56" i="1"/>
  <c r="AI56" i="1"/>
  <c r="AJ56" i="1"/>
  <c r="AK49" i="1"/>
  <c r="AI49" i="1"/>
  <c r="AJ49" i="1"/>
  <c r="AK48" i="1"/>
  <c r="AI48" i="1"/>
  <c r="AJ48" i="1"/>
  <c r="AJ51" i="1"/>
  <c r="AI51" i="1"/>
  <c r="AK51" i="1"/>
  <c r="AI47" i="1"/>
  <c r="AK47" i="1"/>
  <c r="AJ47" i="1"/>
  <c r="AI45" i="1"/>
  <c r="AJ45" i="1"/>
  <c r="AK45" i="1"/>
  <c r="AI39" i="1"/>
  <c r="AJ39" i="1"/>
  <c r="AK39" i="1"/>
  <c r="AI40" i="1"/>
  <c r="AJ40" i="1"/>
  <c r="AK40" i="1"/>
  <c r="AI43" i="1"/>
  <c r="AK43" i="1"/>
  <c r="AJ43" i="1"/>
  <c r="AI42" i="1"/>
  <c r="AK42" i="1"/>
  <c r="AJ42" i="1"/>
  <c r="AJ44" i="1"/>
  <c r="AK44" i="1"/>
  <c r="AI44" i="1"/>
  <c r="AI41" i="1"/>
  <c r="AK41" i="1"/>
  <c r="AJ41" i="1"/>
  <c r="AJ46" i="1"/>
  <c r="AI46" i="1"/>
  <c r="AK46" i="1"/>
  <c r="AI38" i="1"/>
  <c r="AK38" i="1"/>
  <c r="AJ38" i="1"/>
  <c r="AJ33" i="1"/>
  <c r="AK33" i="1"/>
  <c r="AI33" i="1"/>
  <c r="AI31" i="1"/>
  <c r="AK31" i="1"/>
  <c r="AJ31" i="1"/>
  <c r="AI32" i="1"/>
  <c r="AK32" i="1"/>
  <c r="AJ32" i="1"/>
  <c r="AR24" i="1"/>
  <c r="AK34" i="1"/>
  <c r="AJ34" i="1"/>
  <c r="AI34" i="1"/>
  <c r="AK37" i="1"/>
  <c r="AI37" i="1"/>
  <c r="AJ37" i="1"/>
  <c r="AK35" i="1"/>
  <c r="AI35" i="1"/>
  <c r="AJ35" i="1"/>
  <c r="AK36" i="1"/>
  <c r="AJ36" i="1"/>
  <c r="AI36" i="1"/>
  <c r="AK30" i="1"/>
  <c r="AJ30" i="1"/>
  <c r="AI30" i="1"/>
  <c r="AK29" i="1"/>
  <c r="AJ29" i="1"/>
  <c r="AI29" i="1"/>
  <c r="AR25" i="1"/>
  <c r="AP53" i="1" l="1"/>
  <c r="AP54" i="1"/>
  <c r="AP52" i="1"/>
  <c r="AP50" i="1"/>
  <c r="AP55" i="1"/>
  <c r="AP56" i="1"/>
  <c r="AP51" i="1"/>
  <c r="AP57" i="1"/>
  <c r="AP49" i="1"/>
  <c r="AP48" i="1"/>
  <c r="AP47" i="1"/>
  <c r="AP45" i="1"/>
  <c r="AP39" i="1"/>
  <c r="AP46" i="1"/>
  <c r="AP42" i="1"/>
  <c r="AP44" i="1"/>
  <c r="AP40" i="1"/>
  <c r="AP43" i="1"/>
  <c r="AP41" i="1"/>
  <c r="AP31" i="1"/>
  <c r="AP34" i="1"/>
  <c r="AP37" i="1"/>
  <c r="AP29" i="1"/>
  <c r="AP35" i="1"/>
  <c r="AP30" i="1"/>
  <c r="AP32" i="1"/>
  <c r="AP38" i="1"/>
  <c r="AP36" i="1"/>
  <c r="AP33" i="1"/>
  <c r="AR26" i="1"/>
  <c r="AR30" i="1" s="1"/>
  <c r="AR31" i="1" s="1"/>
  <c r="AJ17" i="1" l="1"/>
  <c r="AJ15" i="1"/>
  <c r="AJ19" i="1"/>
  <c r="AL19" i="1"/>
  <c r="AL17" i="1"/>
  <c r="AL15" i="1"/>
  <c r="AL6" i="1"/>
  <c r="AJ4" i="1"/>
  <c r="AL4" i="1"/>
  <c r="AJ5" i="1"/>
  <c r="AL5" i="1"/>
  <c r="AJ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<sst xmlns="http://schemas.openxmlformats.org/spreadsheetml/2006/main" count="293" uniqueCount="64">
  <si>
    <t>Start Date</t>
  </si>
  <si>
    <t>PROGRESS</t>
  </si>
  <si>
    <t>COMPLETED HABITS</t>
  </si>
  <si>
    <t>UNCOMPLETED HABITS</t>
  </si>
  <si>
    <t>Daily Habits</t>
  </si>
  <si>
    <t>😔</t>
  </si>
  <si>
    <t>😏</t>
  </si>
  <si>
    <t>😎</t>
  </si>
  <si>
    <t>🙂</t>
  </si>
  <si>
    <t>Completed Days</t>
  </si>
  <si>
    <t>Total Days</t>
  </si>
  <si>
    <t>RANK</t>
  </si>
  <si>
    <t>Total Completed Days</t>
  </si>
  <si>
    <t>Completion %</t>
  </si>
  <si>
    <t>Total Habits</t>
  </si>
  <si>
    <t>Completed %</t>
  </si>
  <si>
    <t>Uncompleted %</t>
  </si>
  <si>
    <t>TOTAL %</t>
  </si>
  <si>
    <t>Top 3 most consistent habits</t>
  </si>
  <si>
    <t>Yay! You're doing great on these habits</t>
  </si>
  <si>
    <t>Top 3 least consistent habits</t>
  </si>
  <si>
    <t>Nay! There is room for improvement here</t>
  </si>
  <si>
    <t>Weekly Habits</t>
  </si>
  <si>
    <t>WEEK 1</t>
  </si>
  <si>
    <t>WEEK 2</t>
  </si>
  <si>
    <t>WEEK 3</t>
  </si>
  <si>
    <t>WEEK 4</t>
  </si>
  <si>
    <t>WEEK 5</t>
  </si>
  <si>
    <t>Completed:</t>
  </si>
  <si>
    <t>Uncompleted:</t>
  </si>
  <si>
    <t>Progress:</t>
  </si>
  <si>
    <t>Monthly Habits</t>
  </si>
  <si>
    <t>Monthly Goals</t>
  </si>
  <si>
    <t>Total Habits:</t>
  </si>
  <si>
    <t>Weekly Goals</t>
  </si>
  <si>
    <t>Habit Tracker 01</t>
  </si>
  <si>
    <t>Habit Tracker 02</t>
  </si>
  <si>
    <t>Habit Tracker 03</t>
  </si>
  <si>
    <t>Habit Tracker 04</t>
  </si>
  <si>
    <t>Habit Tracker 05</t>
  </si>
  <si>
    <t>Habit Tracker 06</t>
  </si>
  <si>
    <t>Habit Tracker 07</t>
  </si>
  <si>
    <t>Habit Tracker 08</t>
  </si>
  <si>
    <t>Habit Tracker 09</t>
  </si>
  <si>
    <t>Habit Tracker 10</t>
  </si>
  <si>
    <t>Habit Tracker 11</t>
  </si>
  <si>
    <t>Habit Tracker 12</t>
  </si>
  <si>
    <t>Habit Tracker 13</t>
  </si>
  <si>
    <t>Habit Tracker 14</t>
  </si>
  <si>
    <t>Habit Tracker 15</t>
  </si>
  <si>
    <t>Habit Tracker 16</t>
  </si>
  <si>
    <t>Habit Tracker 17</t>
  </si>
  <si>
    <t>Habit Tracker 18</t>
  </si>
  <si>
    <t>Habit Tracker 19</t>
  </si>
  <si>
    <t>Habit Tracker 20</t>
  </si>
  <si>
    <t>Habit Tracker 21</t>
  </si>
  <si>
    <t>Habit Tracker 22</t>
  </si>
  <si>
    <t>Habit Tracker 23</t>
  </si>
  <si>
    <t>Habit Tracker 24</t>
  </si>
  <si>
    <t>Habit Tracker 25</t>
  </si>
  <si>
    <t>Habit Tracker 26</t>
  </si>
  <si>
    <t>Habit Tracker 27</t>
  </si>
  <si>
    <t>Habit Tracker 28</t>
  </si>
  <si>
    <t>Habit Tracker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</si>
</sst>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24009]mmmm\ dd\,\ yyyy;@"/>
    <numFmt numFmtId="165" formatCode="d"/>
    <numFmt numFmtId="166" formatCode="ddd"/>
    <numFmt numFmtId="167" formatCode="mmm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52"/>
      <color theme="1"/>
      <name val="Vijaya"/>
      <family val="1"/>
    </font>
    <font>
      <b/>
      <sz val="22"/>
      <color theme="1"/>
      <name val="Vijaya"/>
      <family val="1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Paybill"/>
    </font>
    <font>
      <sz val="16"/>
      <color theme="1"/>
      <name val="Playbill"/>
      <family val="5"/>
    </font>
    <font>
      <b/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4"/>
      <color theme="0" tint="-0.499984740745262"/>
      <name val="Aptos Narrow"/>
      <family val="2"/>
      <scheme val="minor"/>
    </font>
    <font>
      <b/>
      <sz val="12"/>
      <color theme="2" tint="-0.749992370372631"/>
      <name val="Aptos Narrow"/>
      <family val="2"/>
      <scheme val="minor"/>
    </font>
    <font>
      <b/>
      <i/>
      <sz val="22"/>
      <color theme="1"/>
      <name val="Agency FB"/>
      <family val="2"/>
    </font>
  </fonts>
  <fills count="31">
    <fill>
      <patternFill patternType="none"/>
    </fill>
    <fill>
      <patternFill patternType="gray125"/>
    </fill>
    <fill>
      <patternFill patternType="solid">
        <fgColor rgb="FFE4EAEE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EDE7E6"/>
        <bgColor indexed="64"/>
      </patternFill>
    </fill>
    <fill>
      <patternFill patternType="solid">
        <fgColor rgb="FFC8DCE4"/>
        <bgColor indexed="64"/>
      </patternFill>
    </fill>
    <fill>
      <patternFill patternType="solid">
        <fgColor rgb="FFADCAE2"/>
        <bgColor indexed="64"/>
      </patternFill>
    </fill>
    <fill>
      <patternFill patternType="solid">
        <fgColor rgb="FFC2F6FF"/>
        <bgColor indexed="64"/>
      </patternFill>
    </fill>
    <fill>
      <patternFill patternType="solid">
        <fgColor rgb="FFD9C9D3"/>
        <bgColor indexed="64"/>
      </patternFill>
    </fill>
    <fill>
      <patternFill patternType="solid">
        <fgColor rgb="FFC5B2AF"/>
        <bgColor indexed="64"/>
      </patternFill>
    </fill>
    <fill>
      <patternFill patternType="solid">
        <fgColor rgb="FFA8C7D4"/>
        <bgColor indexed="64"/>
      </patternFill>
    </fill>
    <fill>
      <patternFill patternType="solid">
        <fgColor rgb="FF83AFD3"/>
        <bgColor indexed="64"/>
      </patternFill>
    </fill>
    <fill>
      <patternFill patternType="solid">
        <fgColor rgb="FF6DEAFF"/>
        <bgColor indexed="64"/>
      </patternFill>
    </fill>
    <fill>
      <patternFill patternType="solid">
        <fgColor rgb="FFBCA0B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6F0EE"/>
        <bgColor indexed="64"/>
      </patternFill>
    </fill>
    <fill>
      <patternFill patternType="solid">
        <fgColor rgb="FFF9F6F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3ED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DF2ED"/>
        <bgColor indexed="64"/>
      </patternFill>
    </fill>
    <fill>
      <patternFill patternType="solid">
        <fgColor rgb="FFE3F6FD"/>
        <bgColor indexed="64"/>
      </patternFill>
    </fill>
    <fill>
      <patternFill patternType="solid">
        <fgColor rgb="FFF5E2D0"/>
        <bgColor indexed="64"/>
      </patternFill>
    </fill>
    <fill>
      <patternFill patternType="solid">
        <fgColor rgb="FFEAEAEA"/>
        <bgColor indexed="64"/>
      </patternFill>
    </fill>
  </fills>
  <borders count="9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ck">
        <color indexed="64"/>
      </right>
      <top style="thin">
        <color auto="1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hair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0">
    <xf numFmtId="0" fontId="0" fillId="0" borderId="0" xfId="0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15" xfId="0" applyFill="1" applyBorder="1"/>
    <xf numFmtId="0" fontId="0" fillId="2" borderId="5" xfId="0" applyFill="1" applyBorder="1"/>
    <xf numFmtId="0" fontId="2" fillId="2" borderId="16" xfId="0" applyFont="1" applyFill="1" applyBorder="1" applyAlignment="1">
      <alignment horizontal="center" vertical="center"/>
    </xf>
    <xf numFmtId="166" fontId="2" fillId="4" borderId="9" xfId="0" applyNumberFormat="1" applyFont="1" applyFill="1" applyBorder="1" applyAlignment="1">
      <alignment horizontal="center" vertical="center"/>
    </xf>
    <xf numFmtId="166" fontId="2" fillId="4" borderId="8" xfId="0" applyNumberFormat="1" applyFont="1" applyFill="1" applyBorder="1" applyAlignment="1">
      <alignment horizontal="center" vertical="center"/>
    </xf>
    <xf numFmtId="166" fontId="2" fillId="5" borderId="8" xfId="0" applyNumberFormat="1" applyFont="1" applyFill="1" applyBorder="1" applyAlignment="1">
      <alignment horizontal="center" vertical="center"/>
    </xf>
    <xf numFmtId="166" fontId="2" fillId="6" borderId="8" xfId="0" applyNumberFormat="1" applyFont="1" applyFill="1" applyBorder="1" applyAlignment="1">
      <alignment horizontal="center" vertical="center"/>
    </xf>
    <xf numFmtId="166" fontId="2" fillId="7" borderId="8" xfId="0" applyNumberFormat="1" applyFont="1" applyFill="1" applyBorder="1" applyAlignment="1">
      <alignment horizontal="center" vertical="center"/>
    </xf>
    <xf numFmtId="166" fontId="2" fillId="8" borderId="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9" fontId="0" fillId="2" borderId="9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9" fontId="0" fillId="2" borderId="0" xfId="1" applyFont="1" applyFill="1"/>
    <xf numFmtId="9" fontId="0" fillId="2" borderId="0" xfId="0" applyNumberFormat="1" applyFill="1"/>
    <xf numFmtId="0" fontId="2" fillId="14" borderId="48" xfId="0" applyFont="1" applyFill="1" applyBorder="1" applyAlignment="1">
      <alignment horizontal="center" vertical="center"/>
    </xf>
    <xf numFmtId="0" fontId="0" fillId="2" borderId="54" xfId="0" applyFill="1" applyBorder="1"/>
    <xf numFmtId="9" fontId="11" fillId="2" borderId="0" xfId="1" applyFont="1" applyFill="1" applyBorder="1"/>
    <xf numFmtId="165" fontId="0" fillId="4" borderId="21" xfId="0" applyNumberForma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22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22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2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22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22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23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2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2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2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2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26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28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28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8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28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28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29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9" fontId="11" fillId="18" borderId="58" xfId="1" applyFont="1" applyFill="1" applyBorder="1" applyAlignment="1">
      <alignment horizontal="center" vertical="center"/>
    </xf>
    <xf numFmtId="9" fontId="11" fillId="18" borderId="61" xfId="1" applyFont="1" applyFill="1" applyBorder="1" applyAlignment="1">
      <alignment horizontal="center" vertical="center"/>
    </xf>
    <xf numFmtId="0" fontId="0" fillId="2" borderId="71" xfId="0" applyFill="1" applyBorder="1"/>
    <xf numFmtId="0" fontId="0" fillId="19" borderId="54" xfId="0" applyFill="1" applyBorder="1"/>
    <xf numFmtId="0" fontId="0" fillId="19" borderId="65" xfId="0" applyFill="1" applyBorder="1"/>
    <xf numFmtId="0" fontId="0" fillId="19" borderId="63" xfId="0" applyFill="1" applyBorder="1"/>
    <xf numFmtId="0" fontId="0" fillId="19" borderId="71" xfId="0" applyFill="1" applyBorder="1"/>
    <xf numFmtId="0" fontId="0" fillId="19" borderId="64" xfId="0" applyFill="1" applyBorder="1"/>
    <xf numFmtId="0" fontId="0" fillId="19" borderId="0" xfId="0" applyFill="1"/>
    <xf numFmtId="0" fontId="0" fillId="19" borderId="54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9" borderId="5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9" borderId="65" xfId="0" applyFill="1" applyBorder="1" applyAlignment="1">
      <alignment horizontal="center"/>
    </xf>
    <xf numFmtId="0" fontId="0" fillId="19" borderId="53" xfId="0" applyFill="1" applyBorder="1"/>
    <xf numFmtId="0" fontId="0" fillId="19" borderId="66" xfId="0" applyFill="1" applyBorder="1"/>
    <xf numFmtId="0" fontId="0" fillId="19" borderId="55" xfId="0" applyFill="1" applyBorder="1"/>
    <xf numFmtId="0" fontId="0" fillId="19" borderId="54" xfId="0" applyFill="1" applyBorder="1" applyAlignment="1">
      <alignment horizontal="right"/>
    </xf>
    <xf numFmtId="0" fontId="0" fillId="19" borderId="65" xfId="0" applyFill="1" applyBorder="1" applyAlignment="1">
      <alignment horizontal="center" vertical="center"/>
    </xf>
    <xf numFmtId="0" fontId="0" fillId="19" borderId="65" xfId="1" applyNumberFormat="1" applyFont="1" applyFill="1" applyBorder="1" applyAlignment="1">
      <alignment horizontal="center" vertical="center"/>
    </xf>
    <xf numFmtId="9" fontId="0" fillId="19" borderId="65" xfId="1" applyFont="1" applyFill="1" applyBorder="1" applyAlignment="1">
      <alignment horizontal="center" vertical="center"/>
    </xf>
    <xf numFmtId="0" fontId="0" fillId="19" borderId="54" xfId="0" applyFill="1" applyBorder="1" applyAlignment="1">
      <alignment horizontal="right" vertical="center"/>
    </xf>
    <xf numFmtId="0" fontId="0" fillId="19" borderId="54" xfId="0" applyFill="1" applyBorder="1" applyAlignment="1">
      <alignment horizontal="center" vertical="center"/>
    </xf>
    <xf numFmtId="9" fontId="0" fillId="2" borderId="10" xfId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66" fontId="2" fillId="8" borderId="72" xfId="0" applyNumberFormat="1" applyFont="1" applyFill="1" applyBorder="1" applyAlignment="1">
      <alignment horizontal="center" vertical="center"/>
    </xf>
    <xf numFmtId="0" fontId="0" fillId="2" borderId="74" xfId="0" applyFill="1" applyBorder="1"/>
    <xf numFmtId="0" fontId="0" fillId="2" borderId="19" xfId="0" applyFill="1" applyBorder="1"/>
    <xf numFmtId="0" fontId="0" fillId="18" borderId="82" xfId="0" applyFill="1" applyBorder="1" applyAlignment="1">
      <alignment horizontal="center" vertical="center"/>
    </xf>
    <xf numFmtId="0" fontId="0" fillId="18" borderId="83" xfId="0" applyFill="1" applyBorder="1" applyAlignment="1">
      <alignment horizontal="center" vertical="center"/>
    </xf>
    <xf numFmtId="165" fontId="2" fillId="9" borderId="20" xfId="0" applyNumberFormat="1" applyFont="1" applyFill="1" applyBorder="1" applyAlignment="1">
      <alignment horizontal="center" vertical="center"/>
    </xf>
    <xf numFmtId="165" fontId="2" fillId="9" borderId="84" xfId="0" applyNumberFormat="1" applyFont="1" applyFill="1" applyBorder="1" applyAlignment="1">
      <alignment horizontal="center" vertical="center"/>
    </xf>
    <xf numFmtId="165" fontId="2" fillId="10" borderId="84" xfId="0" applyNumberFormat="1" applyFont="1" applyFill="1" applyBorder="1" applyAlignment="1">
      <alignment horizontal="center" vertical="center"/>
    </xf>
    <xf numFmtId="165" fontId="2" fillId="11" borderId="84" xfId="0" applyNumberFormat="1" applyFont="1" applyFill="1" applyBorder="1" applyAlignment="1">
      <alignment horizontal="center" vertical="center"/>
    </xf>
    <xf numFmtId="165" fontId="2" fillId="12" borderId="84" xfId="0" applyNumberFormat="1" applyFont="1" applyFill="1" applyBorder="1" applyAlignment="1">
      <alignment horizontal="center" vertical="center"/>
    </xf>
    <xf numFmtId="165" fontId="2" fillId="13" borderId="84" xfId="0" applyNumberFormat="1" applyFont="1" applyFill="1" applyBorder="1" applyAlignment="1">
      <alignment horizontal="center" vertical="center"/>
    </xf>
    <xf numFmtId="165" fontId="2" fillId="13" borderId="36" xfId="0" applyNumberFormat="1" applyFont="1" applyFill="1" applyBorder="1" applyAlignment="1">
      <alignment horizontal="center" vertical="center"/>
    </xf>
    <xf numFmtId="0" fontId="0" fillId="4" borderId="8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8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8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4" borderId="87" xfId="0" applyNumberForma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4" borderId="88" xfId="0" applyNumberForma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89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23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92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93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6" fontId="2" fillId="4" borderId="95" xfId="0" applyNumberFormat="1" applyFont="1" applyFill="1" applyBorder="1" applyAlignment="1">
      <alignment horizontal="center" vertical="center"/>
    </xf>
    <xf numFmtId="165" fontId="2" fillId="9" borderId="78" xfId="0" applyNumberFormat="1" applyFont="1" applyFill="1" applyBorder="1" applyAlignment="1">
      <alignment horizontal="center" vertical="center"/>
    </xf>
    <xf numFmtId="166" fontId="2" fillId="5" borderId="9" xfId="0" applyNumberFormat="1" applyFont="1" applyFill="1" applyBorder="1" applyAlignment="1">
      <alignment horizontal="center" vertical="center"/>
    </xf>
    <xf numFmtId="166" fontId="2" fillId="5" borderId="95" xfId="0" applyNumberFormat="1" applyFont="1" applyFill="1" applyBorder="1" applyAlignment="1">
      <alignment horizontal="center" vertical="center"/>
    </xf>
    <xf numFmtId="165" fontId="2" fillId="10" borderId="20" xfId="0" applyNumberFormat="1" applyFont="1" applyFill="1" applyBorder="1" applyAlignment="1">
      <alignment horizontal="center" vertical="center"/>
    </xf>
    <xf numFmtId="165" fontId="2" fillId="10" borderId="78" xfId="0" applyNumberFormat="1" applyFont="1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23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87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26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24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27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29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6" fontId="2" fillId="6" borderId="9" xfId="0" applyNumberFormat="1" applyFont="1" applyFill="1" applyBorder="1" applyAlignment="1">
      <alignment horizontal="center" vertical="center"/>
    </xf>
    <xf numFmtId="166" fontId="2" fillId="6" borderId="95" xfId="0" applyNumberFormat="1" applyFont="1" applyFill="1" applyBorder="1" applyAlignment="1">
      <alignment horizontal="center" vertical="center"/>
    </xf>
    <xf numFmtId="165" fontId="2" fillId="11" borderId="20" xfId="0" applyNumberFormat="1" applyFont="1" applyFill="1" applyBorder="1" applyAlignment="1">
      <alignment horizontal="center" vertical="center"/>
    </xf>
    <xf numFmtId="165" fontId="2" fillId="11" borderId="78" xfId="0" applyNumberFormat="1" applyFont="1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3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87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6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4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7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9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6" fontId="2" fillId="8" borderId="94" xfId="0" applyNumberFormat="1" applyFont="1" applyFill="1" applyBorder="1" applyAlignment="1">
      <alignment horizontal="center" vertical="center"/>
    </xf>
    <xf numFmtId="165" fontId="2" fillId="13" borderId="37" xfId="0" applyNumberFormat="1" applyFont="1" applyFill="1" applyBorder="1" applyAlignment="1">
      <alignment horizontal="center" vertical="center"/>
    </xf>
    <xf numFmtId="0" fontId="0" fillId="8" borderId="90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86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9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6" fontId="2" fillId="7" borderId="9" xfId="0" applyNumberFormat="1" applyFont="1" applyFill="1" applyBorder="1" applyAlignment="1">
      <alignment horizontal="center" vertical="center"/>
    </xf>
    <xf numFmtId="166" fontId="2" fillId="7" borderId="95" xfId="0" applyNumberFormat="1" applyFont="1" applyFill="1" applyBorder="1" applyAlignment="1">
      <alignment horizontal="center" vertical="center"/>
    </xf>
    <xf numFmtId="165" fontId="2" fillId="12" borderId="20" xfId="0" applyNumberFormat="1" applyFont="1" applyFill="1" applyBorder="1" applyAlignment="1">
      <alignment horizontal="center" vertical="center"/>
    </xf>
    <xf numFmtId="165" fontId="2" fillId="12" borderId="78" xfId="0" applyNumberFormat="1" applyFont="1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23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24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26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27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29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9" borderId="67" xfId="0" applyFill="1" applyBorder="1" applyAlignment="1">
      <alignment horizontal="center"/>
    </xf>
    <xf numFmtId="0" fontId="0" fillId="19" borderId="81" xfId="0" applyFill="1" applyBorder="1" applyAlignment="1">
      <alignment horizontal="center"/>
    </xf>
    <xf numFmtId="9" fontId="15" fillId="19" borderId="54" xfId="0" applyNumberFormat="1" applyFont="1" applyFill="1" applyBorder="1" applyAlignment="1">
      <alignment horizontal="center" vertical="center"/>
    </xf>
    <xf numFmtId="0" fontId="15" fillId="19" borderId="65" xfId="0" applyFont="1" applyFill="1" applyBorder="1" applyAlignment="1">
      <alignment horizontal="center" vertical="center"/>
    </xf>
    <xf numFmtId="0" fontId="15" fillId="19" borderId="54" xfId="0" applyFont="1" applyFill="1" applyBorder="1" applyAlignment="1">
      <alignment horizontal="center" vertical="center"/>
    </xf>
    <xf numFmtId="0" fontId="0" fillId="19" borderId="63" xfId="0" applyFill="1" applyBorder="1" applyAlignment="1">
      <alignment horizontal="center"/>
    </xf>
    <xf numFmtId="0" fontId="0" fillId="19" borderId="64" xfId="0" applyFill="1" applyBorder="1" applyAlignment="1">
      <alignment horizontal="center"/>
    </xf>
    <xf numFmtId="0" fontId="0" fillId="19" borderId="54" xfId="0" applyFill="1" applyBorder="1" applyAlignment="1">
      <alignment horizontal="center"/>
    </xf>
    <xf numFmtId="0" fontId="0" fillId="19" borderId="65" xfId="0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0" fontId="0" fillId="19" borderId="66" xfId="0" applyFill="1" applyBorder="1" applyAlignment="1">
      <alignment horizontal="center"/>
    </xf>
    <xf numFmtId="0" fontId="0" fillId="19" borderId="54" xfId="0" applyFill="1" applyBorder="1" applyAlignment="1">
      <alignment horizontal="right"/>
    </xf>
    <xf numFmtId="0" fontId="0" fillId="19" borderId="0" xfId="0" applyFill="1" applyAlignment="1">
      <alignment horizontal="right"/>
    </xf>
    <xf numFmtId="0" fontId="0" fillId="19" borderId="0" xfId="0" applyFill="1" applyAlignment="1">
      <alignment horizontal="center"/>
    </xf>
    <xf numFmtId="9" fontId="0" fillId="19" borderId="0" xfId="1" applyFont="1" applyFill="1" applyAlignment="1">
      <alignment horizontal="center"/>
    </xf>
    <xf numFmtId="9" fontId="14" fillId="19" borderId="54" xfId="0" applyNumberFormat="1" applyFont="1" applyFill="1" applyBorder="1" applyAlignment="1">
      <alignment horizontal="center" vertical="center"/>
    </xf>
    <xf numFmtId="0" fontId="14" fillId="19" borderId="0" xfId="0" applyFont="1" applyFill="1" applyAlignment="1">
      <alignment horizontal="center" vertical="center"/>
    </xf>
    <xf numFmtId="0" fontId="14" fillId="19" borderId="65" xfId="0" applyFont="1" applyFill="1" applyBorder="1" applyAlignment="1">
      <alignment horizontal="center" vertical="center"/>
    </xf>
    <xf numFmtId="0" fontId="14" fillId="19" borderId="54" xfId="0" applyFont="1" applyFill="1" applyBorder="1" applyAlignment="1">
      <alignment horizontal="center" vertical="center"/>
    </xf>
    <xf numFmtId="0" fontId="13" fillId="29" borderId="68" xfId="0" applyFont="1" applyFill="1" applyBorder="1" applyAlignment="1">
      <alignment horizontal="center" vertical="center"/>
    </xf>
    <xf numFmtId="0" fontId="13" fillId="29" borderId="69" xfId="0" applyFont="1" applyFill="1" applyBorder="1" applyAlignment="1">
      <alignment horizontal="center" vertical="center"/>
    </xf>
    <xf numFmtId="0" fontId="13" fillId="29" borderId="70" xfId="0" applyFont="1" applyFill="1" applyBorder="1" applyAlignment="1">
      <alignment horizontal="center" vertical="center"/>
    </xf>
    <xf numFmtId="0" fontId="13" fillId="30" borderId="68" xfId="0" applyFont="1" applyFill="1" applyBorder="1" applyAlignment="1">
      <alignment horizontal="center" vertical="center"/>
    </xf>
    <xf numFmtId="0" fontId="13" fillId="30" borderId="69" xfId="0" applyFont="1" applyFill="1" applyBorder="1" applyAlignment="1">
      <alignment horizontal="center" vertical="center"/>
    </xf>
    <xf numFmtId="0" fontId="13" fillId="30" borderId="70" xfId="0" applyFont="1" applyFill="1" applyBorder="1" applyAlignment="1">
      <alignment horizontal="center" vertical="center"/>
    </xf>
    <xf numFmtId="0" fontId="17" fillId="29" borderId="68" xfId="0" applyFont="1" applyFill="1" applyBorder="1" applyAlignment="1">
      <alignment horizontal="center" vertical="center" wrapText="1"/>
    </xf>
    <xf numFmtId="0" fontId="17" fillId="29" borderId="69" xfId="0" applyFont="1" applyFill="1" applyBorder="1" applyAlignment="1">
      <alignment horizontal="center" vertical="center" wrapText="1"/>
    </xf>
    <xf numFmtId="0" fontId="16" fillId="20" borderId="63" xfId="0" applyFont="1" applyFill="1" applyBorder="1" applyAlignment="1">
      <alignment horizontal="center" vertical="center" wrapText="1"/>
    </xf>
    <xf numFmtId="0" fontId="16" fillId="20" borderId="64" xfId="0" applyFont="1" applyFill="1" applyBorder="1" applyAlignment="1">
      <alignment horizontal="center" vertical="center" wrapText="1"/>
    </xf>
    <xf numFmtId="0" fontId="16" fillId="20" borderId="53" xfId="0" applyFont="1" applyFill="1" applyBorder="1" applyAlignment="1">
      <alignment horizontal="center" vertical="center" wrapText="1"/>
    </xf>
    <xf numFmtId="0" fontId="16" fillId="20" borderId="66" xfId="0" applyFont="1" applyFill="1" applyBorder="1" applyAlignment="1">
      <alignment horizontal="center" vertical="center" wrapText="1"/>
    </xf>
    <xf numFmtId="0" fontId="8" fillId="20" borderId="63" xfId="0" applyFont="1" applyFill="1" applyBorder="1" applyAlignment="1">
      <alignment horizontal="center" vertical="center"/>
    </xf>
    <xf numFmtId="0" fontId="8" fillId="20" borderId="64" xfId="0" applyFont="1" applyFill="1" applyBorder="1" applyAlignment="1">
      <alignment horizontal="center" vertical="center"/>
    </xf>
    <xf numFmtId="0" fontId="8" fillId="20" borderId="53" xfId="0" applyFont="1" applyFill="1" applyBorder="1" applyAlignment="1">
      <alignment horizontal="center" vertical="center"/>
    </xf>
    <xf numFmtId="0" fontId="8" fillId="20" borderId="66" xfId="0" applyFont="1" applyFill="1" applyBorder="1" applyAlignment="1">
      <alignment horizontal="center" vertical="center"/>
    </xf>
    <xf numFmtId="0" fontId="8" fillId="21" borderId="68" xfId="0" applyFont="1" applyFill="1" applyBorder="1" applyAlignment="1">
      <alignment horizontal="center" vertical="center"/>
    </xf>
    <xf numFmtId="0" fontId="8" fillId="21" borderId="69" xfId="0" applyFont="1" applyFill="1" applyBorder="1" applyAlignment="1">
      <alignment horizontal="center" vertical="center"/>
    </xf>
    <xf numFmtId="0" fontId="8" fillId="21" borderId="70" xfId="0" applyFont="1" applyFill="1" applyBorder="1" applyAlignment="1">
      <alignment horizontal="center" vertical="center"/>
    </xf>
    <xf numFmtId="0" fontId="8" fillId="22" borderId="68" xfId="0" applyFont="1" applyFill="1" applyBorder="1" applyAlignment="1">
      <alignment horizontal="center" vertical="center"/>
    </xf>
    <xf numFmtId="0" fontId="8" fillId="22" borderId="69" xfId="0" applyFont="1" applyFill="1" applyBorder="1" applyAlignment="1">
      <alignment horizontal="center" vertical="center"/>
    </xf>
    <xf numFmtId="0" fontId="8" fillId="22" borderId="70" xfId="0" applyFont="1" applyFill="1" applyBorder="1" applyAlignment="1">
      <alignment horizontal="center" vertical="center"/>
    </xf>
    <xf numFmtId="0" fontId="8" fillId="23" borderId="68" xfId="0" applyFont="1" applyFill="1" applyBorder="1" applyAlignment="1">
      <alignment horizontal="center" vertical="center"/>
    </xf>
    <xf numFmtId="0" fontId="8" fillId="23" borderId="69" xfId="0" applyFont="1" applyFill="1" applyBorder="1" applyAlignment="1">
      <alignment horizontal="center" vertical="center"/>
    </xf>
    <xf numFmtId="0" fontId="8" fillId="23" borderId="70" xfId="0" applyFont="1" applyFill="1" applyBorder="1" applyAlignment="1">
      <alignment horizontal="center" vertical="center"/>
    </xf>
    <xf numFmtId="0" fontId="8" fillId="18" borderId="68" xfId="0" applyFont="1" applyFill="1" applyBorder="1" applyAlignment="1">
      <alignment horizontal="center" vertical="center"/>
    </xf>
    <xf numFmtId="0" fontId="8" fillId="18" borderId="69" xfId="0" applyFont="1" applyFill="1" applyBorder="1" applyAlignment="1">
      <alignment horizontal="center" vertical="center"/>
    </xf>
    <xf numFmtId="0" fontId="8" fillId="18" borderId="70" xfId="0" applyFont="1" applyFill="1" applyBorder="1" applyAlignment="1">
      <alignment horizontal="center" vertical="center"/>
    </xf>
    <xf numFmtId="0" fontId="8" fillId="10" borderId="63" xfId="0" applyFont="1" applyFill="1" applyBorder="1" applyAlignment="1">
      <alignment horizontal="center" vertical="center"/>
    </xf>
    <xf numFmtId="0" fontId="8" fillId="10" borderId="71" xfId="0" applyFont="1" applyFill="1" applyBorder="1" applyAlignment="1">
      <alignment horizontal="center" vertical="center"/>
    </xf>
    <xf numFmtId="0" fontId="8" fillId="10" borderId="64" xfId="0" applyFont="1" applyFill="1" applyBorder="1" applyAlignment="1">
      <alignment horizontal="center" vertical="center"/>
    </xf>
    <xf numFmtId="9" fontId="8" fillId="28" borderId="53" xfId="1" applyFont="1" applyFill="1" applyBorder="1" applyAlignment="1">
      <alignment horizontal="center" vertical="center"/>
    </xf>
    <xf numFmtId="9" fontId="8" fillId="28" borderId="55" xfId="1" applyFont="1" applyFill="1" applyBorder="1" applyAlignment="1">
      <alignment horizontal="center" vertical="center"/>
    </xf>
    <xf numFmtId="9" fontId="8" fillId="28" borderId="66" xfId="1" applyFont="1" applyFill="1" applyBorder="1" applyAlignment="1">
      <alignment horizontal="center" vertical="center"/>
    </xf>
    <xf numFmtId="9" fontId="8" fillId="27" borderId="53" xfId="1" applyFont="1" applyFill="1" applyBorder="1" applyAlignment="1">
      <alignment horizontal="center" vertical="center"/>
    </xf>
    <xf numFmtId="9" fontId="8" fillId="27" borderId="55" xfId="1" applyFont="1" applyFill="1" applyBorder="1" applyAlignment="1">
      <alignment horizontal="center" vertical="center"/>
    </xf>
    <xf numFmtId="9" fontId="8" fillId="27" borderId="66" xfId="1" applyFont="1" applyFill="1" applyBorder="1" applyAlignment="1">
      <alignment horizontal="center" vertical="center"/>
    </xf>
    <xf numFmtId="9" fontId="8" fillId="26" borderId="53" xfId="1" applyFont="1" applyFill="1" applyBorder="1" applyAlignment="1">
      <alignment horizontal="center" vertical="center"/>
    </xf>
    <xf numFmtId="9" fontId="8" fillId="26" borderId="55" xfId="1" applyFont="1" applyFill="1" applyBorder="1" applyAlignment="1">
      <alignment horizontal="center" vertical="center"/>
    </xf>
    <xf numFmtId="9" fontId="8" fillId="26" borderId="66" xfId="1" applyFont="1" applyFill="1" applyBorder="1" applyAlignment="1">
      <alignment horizontal="center" vertical="center"/>
    </xf>
    <xf numFmtId="9" fontId="8" fillId="25" borderId="53" xfId="1" applyFont="1" applyFill="1" applyBorder="1" applyAlignment="1">
      <alignment horizontal="center" vertical="center"/>
    </xf>
    <xf numFmtId="9" fontId="8" fillId="25" borderId="55" xfId="1" applyFont="1" applyFill="1" applyBorder="1" applyAlignment="1">
      <alignment horizontal="center" vertical="center"/>
    </xf>
    <xf numFmtId="9" fontId="8" fillId="25" borderId="66" xfId="1" applyFont="1" applyFill="1" applyBorder="1" applyAlignment="1">
      <alignment horizontal="center" vertical="center"/>
    </xf>
    <xf numFmtId="9" fontId="8" fillId="24" borderId="68" xfId="1" applyFont="1" applyFill="1" applyBorder="1" applyAlignment="1">
      <alignment horizontal="center" vertical="center"/>
    </xf>
    <xf numFmtId="9" fontId="8" fillId="24" borderId="69" xfId="1" applyFont="1" applyFill="1" applyBorder="1" applyAlignment="1">
      <alignment horizontal="center" vertical="center"/>
    </xf>
    <xf numFmtId="9" fontId="8" fillId="24" borderId="70" xfId="1" applyFont="1" applyFill="1" applyBorder="1" applyAlignment="1">
      <alignment horizontal="center" vertical="center"/>
    </xf>
    <xf numFmtId="0" fontId="12" fillId="18" borderId="60" xfId="0" applyFont="1" applyFill="1" applyBorder="1" applyAlignment="1">
      <alignment horizontal="left" vertical="center"/>
    </xf>
    <xf numFmtId="0" fontId="12" fillId="18" borderId="33" xfId="0" applyFont="1" applyFill="1" applyBorder="1" applyAlignment="1">
      <alignment horizontal="left" vertical="center"/>
    </xf>
    <xf numFmtId="0" fontId="12" fillId="18" borderId="58" xfId="0" applyFont="1" applyFill="1" applyBorder="1" applyAlignment="1">
      <alignment horizontal="left" vertical="center"/>
    </xf>
    <xf numFmtId="0" fontId="12" fillId="18" borderId="59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18" borderId="62" xfId="0" applyFont="1" applyFill="1" applyBorder="1" applyAlignment="1">
      <alignment horizontal="left" vertical="center"/>
    </xf>
    <xf numFmtId="0" fontId="12" fillId="18" borderId="35" xfId="0" applyFont="1" applyFill="1" applyBorder="1" applyAlignment="1">
      <alignment horizontal="left" vertical="center"/>
    </xf>
    <xf numFmtId="0" fontId="2" fillId="2" borderId="32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0" fillId="15" borderId="48" xfId="0" applyFill="1" applyBorder="1" applyAlignment="1">
      <alignment horizontal="center"/>
    </xf>
    <xf numFmtId="0" fontId="0" fillId="15" borderId="51" xfId="0" applyFill="1" applyBorder="1" applyAlignment="1">
      <alignment horizontal="center"/>
    </xf>
    <xf numFmtId="0" fontId="7" fillId="15" borderId="46" xfId="0" applyFont="1" applyFill="1" applyBorder="1" applyAlignment="1">
      <alignment horizontal="center" vertical="center" wrapText="1"/>
    </xf>
    <xf numFmtId="0" fontId="7" fillId="15" borderId="47" xfId="0" applyFont="1" applyFill="1" applyBorder="1" applyAlignment="1">
      <alignment horizontal="center" vertical="center" wrapText="1"/>
    </xf>
    <xf numFmtId="0" fontId="7" fillId="15" borderId="49" xfId="0" applyFont="1" applyFill="1" applyBorder="1" applyAlignment="1">
      <alignment horizontal="center" vertical="center" wrapText="1"/>
    </xf>
    <xf numFmtId="0" fontId="7" fillId="15" borderId="50" xfId="0" applyFont="1" applyFill="1" applyBorder="1" applyAlignment="1">
      <alignment horizontal="center" vertical="center" wrapText="1"/>
    </xf>
    <xf numFmtId="0" fontId="7" fillId="17" borderId="11" xfId="0" applyFont="1" applyFill="1" applyBorder="1" applyAlignment="1">
      <alignment horizontal="center"/>
    </xf>
    <xf numFmtId="0" fontId="7" fillId="17" borderId="47" xfId="0" applyFont="1" applyFill="1" applyBorder="1" applyAlignment="1">
      <alignment horizontal="center"/>
    </xf>
    <xf numFmtId="0" fontId="7" fillId="17" borderId="76" xfId="0" applyFont="1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6" borderId="7" xfId="0" applyFill="1" applyBorder="1" applyAlignment="1">
      <alignment horizontal="center"/>
    </xf>
    <xf numFmtId="0" fontId="0" fillId="16" borderId="75" xfId="0" applyFill="1" applyBorder="1" applyAlignment="1">
      <alignment horizontal="center"/>
    </xf>
    <xf numFmtId="0" fontId="0" fillId="16" borderId="41" xfId="0" applyFill="1" applyBorder="1" applyAlignment="1">
      <alignment horizontal="center"/>
    </xf>
    <xf numFmtId="0" fontId="0" fillId="16" borderId="73" xfId="0" applyFill="1" applyBorder="1" applyAlignment="1">
      <alignment horizontal="center"/>
    </xf>
    <xf numFmtId="0" fontId="10" fillId="15" borderId="43" xfId="0" applyFont="1" applyFill="1" applyBorder="1" applyAlignment="1">
      <alignment horizontal="center" vertical="center" wrapText="1"/>
    </xf>
    <xf numFmtId="0" fontId="10" fillId="15" borderId="44" xfId="0" applyFont="1" applyFill="1" applyBorder="1" applyAlignment="1">
      <alignment horizontal="center" vertical="center" wrapText="1"/>
    </xf>
    <xf numFmtId="0" fontId="10" fillId="15" borderId="45" xfId="0" applyFont="1" applyFill="1" applyBorder="1" applyAlignment="1">
      <alignment horizontal="center" vertical="center" wrapText="1"/>
    </xf>
    <xf numFmtId="0" fontId="10" fillId="15" borderId="46" xfId="0" applyFont="1" applyFill="1" applyBorder="1" applyAlignment="1">
      <alignment horizontal="center" vertical="center" wrapText="1"/>
    </xf>
    <xf numFmtId="0" fontId="10" fillId="15" borderId="47" xfId="0" applyFont="1" applyFill="1" applyBorder="1" applyAlignment="1">
      <alignment horizontal="center" vertical="center" wrapText="1"/>
    </xf>
    <xf numFmtId="0" fontId="10" fillId="15" borderId="48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78" xfId="0" applyFont="1" applyFill="1" applyBorder="1" applyAlignment="1">
      <alignment horizontal="center" vertical="center"/>
    </xf>
    <xf numFmtId="0" fontId="7" fillId="2" borderId="79" xfId="0" applyFont="1" applyFill="1" applyBorder="1" applyAlignment="1">
      <alignment horizontal="center" vertical="center"/>
    </xf>
    <xf numFmtId="0" fontId="7" fillId="2" borderId="80" xfId="0" applyFont="1" applyFill="1" applyBorder="1" applyAlignment="1">
      <alignment horizontal="center" vertical="center"/>
    </xf>
    <xf numFmtId="0" fontId="7" fillId="2" borderId="77" xfId="0" applyFont="1" applyFill="1" applyBorder="1" applyAlignment="1">
      <alignment horizontal="center" vertical="center"/>
    </xf>
    <xf numFmtId="0" fontId="10" fillId="3" borderId="43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>
      <alignment horizontal="center" vertical="center" wrapText="1"/>
    </xf>
    <xf numFmtId="0" fontId="10" fillId="3" borderId="46" xfId="0" applyFont="1" applyFill="1" applyBorder="1" applyAlignment="1">
      <alignment horizontal="center" vertical="center" wrapText="1"/>
    </xf>
    <xf numFmtId="0" fontId="10" fillId="3" borderId="47" xfId="0" applyFont="1" applyFill="1" applyBorder="1" applyAlignment="1">
      <alignment horizontal="center" vertical="center" wrapText="1"/>
    </xf>
    <xf numFmtId="0" fontId="10" fillId="3" borderId="48" xfId="0" applyFont="1" applyFill="1" applyBorder="1" applyAlignment="1">
      <alignment horizontal="center" vertical="center" wrapText="1"/>
    </xf>
    <xf numFmtId="0" fontId="7" fillId="14" borderId="46" xfId="0" applyFont="1" applyFill="1" applyBorder="1" applyAlignment="1">
      <alignment horizontal="center" vertical="center"/>
    </xf>
    <xf numFmtId="0" fontId="7" fillId="14" borderId="47" xfId="0" applyFont="1" applyFill="1" applyBorder="1" applyAlignment="1">
      <alignment horizontal="center" vertical="center"/>
    </xf>
    <xf numFmtId="0" fontId="2" fillId="3" borderId="56" xfId="0" applyFont="1" applyFill="1" applyBorder="1" applyAlignment="1">
      <alignment horizontal="center" vertical="center" wrapText="1"/>
    </xf>
    <xf numFmtId="0" fontId="2" fillId="3" borderId="57" xfId="0" applyFont="1" applyFill="1" applyBorder="1" applyAlignment="1">
      <alignment horizontal="center" vertical="center" wrapText="1"/>
    </xf>
    <xf numFmtId="0" fontId="9" fillId="3" borderId="5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53" xfId="0" applyFont="1" applyFill="1" applyBorder="1" applyAlignment="1">
      <alignment horizontal="center" vertical="center" wrapText="1"/>
    </xf>
    <xf numFmtId="0" fontId="9" fillId="3" borderId="55" xfId="0" applyFont="1" applyFill="1" applyBorder="1" applyAlignment="1">
      <alignment horizontal="center" vertical="center" wrapText="1"/>
    </xf>
    <xf numFmtId="167" fontId="5" fillId="2" borderId="0" xfId="0" applyNumberFormat="1" applyFont="1" applyFill="1" applyAlignment="1">
      <alignment horizontal="center" vertical="center"/>
    </xf>
    <xf numFmtId="167" fontId="6" fillId="2" borderId="0" xfId="0" applyNumberFormat="1" applyFont="1" applyFill="1" applyAlignment="1">
      <alignment horizontal="center" vertical="center"/>
    </xf>
    <xf numFmtId="167" fontId="6" fillId="2" borderId="19" xfId="0" applyNumberFormat="1" applyFont="1" applyFill="1" applyBorder="1" applyAlignment="1">
      <alignment horizontal="center" vertical="center"/>
    </xf>
    <xf numFmtId="0" fontId="0" fillId="2" borderId="3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5">
    <dxf>
      <font>
        <color rgb="FFC44536"/>
      </font>
    </dxf>
    <dxf>
      <font>
        <color rgb="FFF4A261"/>
      </font>
    </dxf>
    <dxf>
      <font>
        <color rgb="FFEBC39F"/>
      </font>
    </dxf>
    <dxf>
      <font>
        <color rgb="FF81B29A"/>
      </font>
    </dxf>
    <dxf>
      <font>
        <color rgb="FFA1C181"/>
      </font>
    </dxf>
  </dxfs>
  <tableStyles count="0" defaultTableStyle="TableStyleMedium2" defaultPivotStyle="PivotStyleLight16"/>
  <colors>
    <mruColors>
      <color rgb="FFF9F6F5"/>
      <color rgb="FFEAEAEA"/>
      <color rgb="FFF5E2D0"/>
      <color rgb="FF7AA2A9"/>
      <color rgb="FFE3F6FD"/>
      <color rgb="FFFDF2ED"/>
      <color rgb="FFE8E8E8"/>
      <color rgb="FFF2F2F2"/>
      <color rgb="FFFFFFFF"/>
      <color rgb="FFE3ED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val>
            <c:numRef>
              <c:f>'Habit Tracker'!$D$24:$AH$24</c:f>
              <c:numCache>
                <c:formatCode>0%</c:formatCode>
                <c:ptCount val="31"/>
                <c:pt idx="0">
                  <c:v>0.89655172413793105</c:v>
                </c:pt>
                <c:pt idx="1">
                  <c:v>0.96551724137931039</c:v>
                </c:pt>
                <c:pt idx="2">
                  <c:v>0.96551724137931039</c:v>
                </c:pt>
                <c:pt idx="3">
                  <c:v>0.89655172413793105</c:v>
                </c:pt>
                <c:pt idx="4">
                  <c:v>0.89655172413793105</c:v>
                </c:pt>
                <c:pt idx="5">
                  <c:v>0.89655172413793105</c:v>
                </c:pt>
                <c:pt idx="6">
                  <c:v>0.93103448275862066</c:v>
                </c:pt>
                <c:pt idx="7">
                  <c:v>0.82758620689655171</c:v>
                </c:pt>
                <c:pt idx="8">
                  <c:v>0.75862068965517238</c:v>
                </c:pt>
                <c:pt idx="9">
                  <c:v>0.86206896551724133</c:v>
                </c:pt>
                <c:pt idx="10">
                  <c:v>0.93103448275862066</c:v>
                </c:pt>
                <c:pt idx="11">
                  <c:v>0.68965517241379315</c:v>
                </c:pt>
                <c:pt idx="12">
                  <c:v>0.82758620689655171</c:v>
                </c:pt>
                <c:pt idx="13">
                  <c:v>0.89655172413793105</c:v>
                </c:pt>
                <c:pt idx="14">
                  <c:v>0.82758620689655171</c:v>
                </c:pt>
                <c:pt idx="15">
                  <c:v>0.93103448275862066</c:v>
                </c:pt>
                <c:pt idx="16">
                  <c:v>0.93103448275862066</c:v>
                </c:pt>
                <c:pt idx="17">
                  <c:v>0.89655172413793105</c:v>
                </c:pt>
                <c:pt idx="18">
                  <c:v>0.82758620689655171</c:v>
                </c:pt>
                <c:pt idx="19">
                  <c:v>0.89655172413793105</c:v>
                </c:pt>
                <c:pt idx="20">
                  <c:v>0.72413793103448276</c:v>
                </c:pt>
                <c:pt idx="21">
                  <c:v>0.86206896551724133</c:v>
                </c:pt>
                <c:pt idx="22">
                  <c:v>0.72413793103448276</c:v>
                </c:pt>
                <c:pt idx="23">
                  <c:v>0.65517241379310343</c:v>
                </c:pt>
                <c:pt idx="24">
                  <c:v>0.89655172413793105</c:v>
                </c:pt>
                <c:pt idx="25">
                  <c:v>0.44827586206896552</c:v>
                </c:pt>
                <c:pt idx="26">
                  <c:v>0.20689655172413793</c:v>
                </c:pt>
                <c:pt idx="27">
                  <c:v>0.55172413793103448</c:v>
                </c:pt>
                <c:pt idx="28">
                  <c:v>6.8965517241379309E-2</c:v>
                </c:pt>
                <c:pt idx="29">
                  <c:v>0.75862068965517238</c:v>
                </c:pt>
                <c:pt idx="30">
                  <c:v>0.55172413793103448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E-49DA-ABFC-F280917F4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998144"/>
        <c:axId val="79723152"/>
      </c:areaChart>
      <c:catAx>
        <c:axId val="42499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79723152"/>
        <c:crosses val="autoZero"/>
        <c:auto val="1"/>
        <c:lblAlgn val="ctr"/>
        <c:lblOffset val="100"/>
        <c:noMultiLvlLbl val="0"/>
      </c:catAx>
      <c:valAx>
        <c:axId val="7972315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9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83AFD3"/>
                  </a:gs>
                  <a:gs pos="27000">
                    <a:srgbClr val="0070C0"/>
                  </a:gs>
                  <a:gs pos="55000">
                    <a:srgbClr val="A8C7D4"/>
                  </a:gs>
                  <a:gs pos="86000">
                    <a:srgbClr val="00B0F0"/>
                  </a:gs>
                </a:gsLst>
                <a:lin ang="5400000" scaled="1"/>
              </a:gradFill>
              <a:round/>
            </a:ln>
            <a:effectLst>
              <a:glow rad="63500">
                <a:srgbClr val="A8C7D4">
                  <a:alpha val="42000"/>
                </a:srgbClr>
              </a:glow>
              <a:outerShdw blurRad="50800" dist="50800" dir="5400000" algn="ctr" rotWithShape="0">
                <a:srgbClr val="CFE2F3">
                  <a:alpha val="79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rgbClr val="002060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7030A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val>
            <c:numRef>
              <c:f>'Habit Tracker'!$D$24:$AH$24</c:f>
              <c:numCache>
                <c:formatCode>0%</c:formatCode>
                <c:ptCount val="31"/>
                <c:pt idx="0">
                  <c:v>0.89655172413793105</c:v>
                </c:pt>
                <c:pt idx="1">
                  <c:v>0.96551724137931039</c:v>
                </c:pt>
                <c:pt idx="2">
                  <c:v>0.96551724137931039</c:v>
                </c:pt>
                <c:pt idx="3">
                  <c:v>0.89655172413793105</c:v>
                </c:pt>
                <c:pt idx="4">
                  <c:v>0.89655172413793105</c:v>
                </c:pt>
                <c:pt idx="5">
                  <c:v>0.89655172413793105</c:v>
                </c:pt>
                <c:pt idx="6">
                  <c:v>0.93103448275862066</c:v>
                </c:pt>
                <c:pt idx="7">
                  <c:v>0.82758620689655171</c:v>
                </c:pt>
                <c:pt idx="8">
                  <c:v>0.75862068965517238</c:v>
                </c:pt>
                <c:pt idx="9">
                  <c:v>0.86206896551724133</c:v>
                </c:pt>
                <c:pt idx="10">
                  <c:v>0.93103448275862066</c:v>
                </c:pt>
                <c:pt idx="11">
                  <c:v>0.68965517241379315</c:v>
                </c:pt>
                <c:pt idx="12">
                  <c:v>0.82758620689655171</c:v>
                </c:pt>
                <c:pt idx="13">
                  <c:v>0.89655172413793105</c:v>
                </c:pt>
                <c:pt idx="14">
                  <c:v>0.82758620689655171</c:v>
                </c:pt>
                <c:pt idx="15">
                  <c:v>0.93103448275862066</c:v>
                </c:pt>
                <c:pt idx="16">
                  <c:v>0.93103448275862066</c:v>
                </c:pt>
                <c:pt idx="17">
                  <c:v>0.89655172413793105</c:v>
                </c:pt>
                <c:pt idx="18">
                  <c:v>0.82758620689655171</c:v>
                </c:pt>
                <c:pt idx="19">
                  <c:v>0.89655172413793105</c:v>
                </c:pt>
                <c:pt idx="20">
                  <c:v>0.72413793103448276</c:v>
                </c:pt>
                <c:pt idx="21">
                  <c:v>0.86206896551724133</c:v>
                </c:pt>
                <c:pt idx="22">
                  <c:v>0.72413793103448276</c:v>
                </c:pt>
                <c:pt idx="23">
                  <c:v>0.65517241379310343</c:v>
                </c:pt>
                <c:pt idx="24">
                  <c:v>0.89655172413793105</c:v>
                </c:pt>
                <c:pt idx="25">
                  <c:v>0.44827586206896552</c:v>
                </c:pt>
                <c:pt idx="26">
                  <c:v>0.20689655172413793</c:v>
                </c:pt>
                <c:pt idx="27">
                  <c:v>0.55172413793103448</c:v>
                </c:pt>
                <c:pt idx="28">
                  <c:v>6.8965517241379309E-2</c:v>
                </c:pt>
                <c:pt idx="29">
                  <c:v>0.75862068965517238</c:v>
                </c:pt>
                <c:pt idx="30">
                  <c:v>0.55172413793103448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F0-42B5-A929-D820E29C10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4996288"/>
        <c:axId val="79734672"/>
      </c:lineChart>
      <c:catAx>
        <c:axId val="424996288"/>
        <c:scaling>
          <c:orientation val="minMax"/>
        </c:scaling>
        <c:delete val="1"/>
        <c:axPos val="b"/>
        <c:majorTickMark val="none"/>
        <c:minorTickMark val="none"/>
        <c:tickLblPos val="nextTo"/>
        <c:crossAx val="79734672"/>
        <c:crosses val="autoZero"/>
        <c:auto val="1"/>
        <c:lblAlgn val="ctr"/>
        <c:lblOffset val="100"/>
        <c:noMultiLvlLbl val="0"/>
      </c:catAx>
      <c:valAx>
        <c:axId val="7973467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2499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265026295960431"/>
          <c:y val="8.8756118263556755E-2"/>
          <c:w val="0.39701579413677823"/>
          <c:h val="0.82248776347288655"/>
        </c:manualLayout>
      </c:layout>
      <c:doughnutChart>
        <c:varyColors val="0"/>
        <c:ser>
          <c:idx val="0"/>
          <c:order val="0"/>
          <c:spPr>
            <a:solidFill>
              <a:schemeClr val="accent1"/>
            </a:solidFill>
            <a:ln w="19050">
              <a:noFill/>
            </a:ln>
            <a:effectLst/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0E-4CF9-8758-C5C2BA04ACAB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D0E-4CF9-8758-C5C2BA04ACAB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0E-4CF9-8758-C5C2BA04ACAB}"/>
              </c:ext>
            </c:extLst>
          </c:dPt>
          <c:cat>
            <c:strRef>
              <c:f>'Habit Tracker'!$AQ$30:$AQ$32</c:f>
              <c:strCache>
                <c:ptCount val="3"/>
                <c:pt idx="0">
                  <c:v>Completed %</c:v>
                </c:pt>
                <c:pt idx="1">
                  <c:v>Uncompleted %</c:v>
                </c:pt>
                <c:pt idx="2">
                  <c:v>TOTAL %</c:v>
                </c:pt>
              </c:strCache>
            </c:strRef>
          </c:cat>
          <c:val>
            <c:numRef>
              <c:f>'Habit Tracker'!$AR$30:$AR$32</c:f>
              <c:numCache>
                <c:formatCode>0%</c:formatCode>
                <c:ptCount val="3"/>
                <c:pt idx="0">
                  <c:v>0.77419354838709675</c:v>
                </c:pt>
                <c:pt idx="1">
                  <c:v>0.22580645161290325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E-4CF9-8758-C5C2BA04A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DD-4075-8F47-A79D9ACC1407}"/>
              </c:ext>
            </c:extLst>
          </c:dPt>
          <c:dPt>
            <c:idx val="1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3DD-4075-8F47-A79D9ACC1407}"/>
              </c:ext>
            </c:extLst>
          </c:dPt>
          <c:cat>
            <c:strRef>
              <c:f>'Habit Tracker'!$B$74:$B$75</c:f>
              <c:strCache>
                <c:ptCount val="2"/>
                <c:pt idx="0">
                  <c:v>Completed:</c:v>
                </c:pt>
                <c:pt idx="1">
                  <c:v>Uncompleted:</c:v>
                </c:pt>
              </c:strCache>
            </c:strRef>
          </c:cat>
          <c:val>
            <c:numRef>
              <c:f>'Habit Tracker'!$C$74:$C$75</c:f>
              <c:numCache>
                <c:formatCode>General</c:formatCode>
                <c:ptCount val="2"/>
                <c:pt idx="0">
                  <c:v>64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D-4075-8F47-A79D9ACC1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D7-4DB9-86B0-057A6C60986C}"/>
              </c:ext>
            </c:extLst>
          </c:dPt>
          <c:dPt>
            <c:idx val="1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D7-4DB9-86B0-057A6C60986C}"/>
              </c:ext>
            </c:extLst>
          </c:dPt>
          <c:cat>
            <c:strRef>
              <c:f>'Habit Tracker'!$B$95:$B$96</c:f>
              <c:strCache>
                <c:ptCount val="2"/>
                <c:pt idx="0">
                  <c:v>Completed:</c:v>
                </c:pt>
                <c:pt idx="1">
                  <c:v>Uncompleted:</c:v>
                </c:pt>
              </c:strCache>
            </c:strRef>
          </c:cat>
          <c:val>
            <c:numRef>
              <c:f>'Habit Tracker'!$C$95:$C$96</c:f>
              <c:numCache>
                <c:formatCode>General</c:formatCode>
                <c:ptCount val="2"/>
                <c:pt idx="0">
                  <c:v>65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D7-4DB9-86B0-057A6C609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8F-45A7-B62F-AF25BD69D9FF}"/>
              </c:ext>
            </c:extLst>
          </c:dPt>
          <c:dPt>
            <c:idx val="1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8F-45A7-B62F-AF25BD69D9FF}"/>
              </c:ext>
            </c:extLst>
          </c:dPt>
          <c:cat>
            <c:strRef>
              <c:f>'Habit Tracker'!$B$115:$B$116</c:f>
              <c:strCache>
                <c:ptCount val="2"/>
                <c:pt idx="0">
                  <c:v>Completed:</c:v>
                </c:pt>
                <c:pt idx="1">
                  <c:v>Uncompleted:</c:v>
                </c:pt>
              </c:strCache>
            </c:strRef>
          </c:cat>
          <c:val>
            <c:numRef>
              <c:f>'Habit Tracker'!$C$115:$C$116</c:f>
              <c:numCache>
                <c:formatCode>General</c:formatCode>
                <c:ptCount val="2"/>
                <c:pt idx="0">
                  <c:v>25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8F-45A7-B62F-AF25BD69D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669291338582677E-2"/>
          <c:y val="1.0024532110743367E-2"/>
          <c:w val="0.96933070866141735"/>
          <c:h val="0.962047647862893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08-46FD-970C-D7DA1FD8663A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08-46FD-970C-D7DA1FD8663A}"/>
              </c:ext>
            </c:extLst>
          </c:dPt>
          <c:val>
            <c:numRef>
              <c:f>'Habit Tracker'!$V$115:$V$116</c:f>
              <c:numCache>
                <c:formatCode>General</c:formatCode>
                <c:ptCount val="2"/>
                <c:pt idx="0">
                  <c:v>22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08-46FD-970C-D7DA1FD8663A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0D-4FB3-A3C3-3205ED541F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0D-4FB3-A3C3-3205ED541F97}"/>
              </c:ext>
            </c:extLst>
          </c:dPt>
          <c:val>
            <c:numRef>
              <c:f>'Habit Tracker'!$W$115:$W$116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D-2808-46FD-970C-D7DA1FD86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8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g"/><Relationship Id="rId13" Type="http://schemas.openxmlformats.org/officeDocument/2006/relationships/hyperlink" Target="https://www.dreamstime.com/colorful-cartoon-task-completed-text-light-blue-background-confetti-stars-has-been-finished-perfect-project-image345612607" TargetMode="Externa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6.jpg"/><Relationship Id="rId2" Type="http://schemas.openxmlformats.org/officeDocument/2006/relationships/chart" Target="../charts/chart2.xml"/><Relationship Id="rId16" Type="http://schemas.openxmlformats.org/officeDocument/2006/relationships/hyperlink" Target="https://in.pinterest.com/pin/904449537680776264/" TargetMode="Externa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hyperlink" Target="https://in.pinterest.com/quotes-pin/every-day-is-a-new-beginning--127860076914069512/" TargetMode="External"/><Relationship Id="rId5" Type="http://schemas.openxmlformats.org/officeDocument/2006/relationships/chart" Target="../charts/chart5.xml"/><Relationship Id="rId15" Type="http://schemas.openxmlformats.org/officeDocument/2006/relationships/image" Target="../media/image8.jpg"/><Relationship Id="rId10" Type="http://schemas.openxmlformats.org/officeDocument/2006/relationships/image" Target="../media/image5.png"/><Relationship Id="rId4" Type="http://schemas.openxmlformats.org/officeDocument/2006/relationships/chart" Target="../charts/chart4.xml"/><Relationship Id="rId9" Type="http://schemas.openxmlformats.org/officeDocument/2006/relationships/hyperlink" Target="https://managertalks.com/personal-growth-tips/" TargetMode="Externa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7</xdr:row>
      <xdr:rowOff>392430</xdr:rowOff>
    </xdr:from>
    <xdr:to>
      <xdr:col>34</xdr:col>
      <xdr:colOff>15240</xdr:colOff>
      <xdr:row>22</xdr:row>
      <xdr:rowOff>140970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275763-A1DC-B0C8-B512-39CC5789C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182880</xdr:colOff>
      <xdr:row>7</xdr:row>
      <xdr:rowOff>377190</xdr:rowOff>
    </xdr:from>
    <xdr:to>
      <xdr:col>34</xdr:col>
      <xdr:colOff>190500</xdr:colOff>
      <xdr:row>22</xdr:row>
      <xdr:rowOff>125730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B17CEAD-6D78-B34F-54ED-B8325F738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4</xdr:col>
      <xdr:colOff>268941</xdr:colOff>
      <xdr:row>12</xdr:row>
      <xdr:rowOff>50284</xdr:rowOff>
    </xdr:from>
    <xdr:ext cx="11355294" cy="109128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A433156-C6AA-4C90-1F79-F1B52A324648}"/>
            </a:ext>
          </a:extLst>
        </xdr:cNvPr>
        <xdr:cNvSpPr txBox="1"/>
      </xdr:nvSpPr>
      <xdr:spPr>
        <a:xfrm>
          <a:off x="4004235" y="2298931"/>
          <a:ext cx="11355294" cy="1091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900"/>
        </a:p>
      </xdr:txBody>
    </xdr:sp>
    <xdr:clientData/>
  </xdr:oneCellAnchor>
  <xdr:twoCellAnchor>
    <xdr:from>
      <xdr:col>36</xdr:col>
      <xdr:colOff>174166</xdr:colOff>
      <xdr:row>24</xdr:row>
      <xdr:rowOff>54433</xdr:rowOff>
    </xdr:from>
    <xdr:to>
      <xdr:col>36</xdr:col>
      <xdr:colOff>849081</xdr:colOff>
      <xdr:row>27</xdr:row>
      <xdr:rowOff>21775</xdr:rowOff>
    </xdr:to>
    <xdr:sp macro="" textlink="$AR$26">
      <xdr:nvSpPr>
        <xdr:cNvPr id="5" name="TextBox 4">
          <a:extLst>
            <a:ext uri="{FF2B5EF4-FFF2-40B4-BE49-F238E27FC236}">
              <a16:creationId xmlns:a16="http://schemas.microsoft.com/office/drawing/2014/main" id="{02FEF478-1AE7-E2C4-161D-956C8FEF17ED}"/>
            </a:ext>
          </a:extLst>
        </xdr:cNvPr>
        <xdr:cNvSpPr txBox="1"/>
      </xdr:nvSpPr>
      <xdr:spPr>
        <a:xfrm>
          <a:off x="16241480" y="7086604"/>
          <a:ext cx="67491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03533832-BEA0-4073-A421-71BE0AB399FB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77%</a:t>
          </a:fld>
          <a:endParaRPr lang="en-IN" sz="2000" b="1"/>
        </a:p>
      </xdr:txBody>
    </xdr:sp>
    <xdr:clientData/>
  </xdr:twoCellAnchor>
  <xdr:twoCellAnchor>
    <xdr:from>
      <xdr:col>34</xdr:col>
      <xdr:colOff>185057</xdr:colOff>
      <xdr:row>22</xdr:row>
      <xdr:rowOff>549729</xdr:rowOff>
    </xdr:from>
    <xdr:to>
      <xdr:col>37</xdr:col>
      <xdr:colOff>892629</xdr:colOff>
      <xdr:row>30</xdr:row>
      <xdr:rowOff>65315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6F9BDF-AA00-1953-2A5E-6398E2DFF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39586</xdr:colOff>
      <xdr:row>60</xdr:row>
      <xdr:rowOff>336467</xdr:rowOff>
    </xdr:from>
    <xdr:to>
      <xdr:col>2</xdr:col>
      <xdr:colOff>1306287</xdr:colOff>
      <xdr:row>71</xdr:row>
      <xdr:rowOff>114795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968D6F9-0E16-871F-A1A5-3BC216C5D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39586</xdr:colOff>
      <xdr:row>81</xdr:row>
      <xdr:rowOff>336467</xdr:rowOff>
    </xdr:from>
    <xdr:to>
      <xdr:col>2</xdr:col>
      <xdr:colOff>1306287</xdr:colOff>
      <xdr:row>92</xdr:row>
      <xdr:rowOff>114795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BEC4210-BAD7-47B4-8234-FBC838527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10279</xdr:colOff>
      <xdr:row>101</xdr:row>
      <xdr:rowOff>424390</xdr:rowOff>
    </xdr:from>
    <xdr:to>
      <xdr:col>2</xdr:col>
      <xdr:colOff>1276980</xdr:colOff>
      <xdr:row>113</xdr:row>
      <xdr:rowOff>17103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1EFC3B4-59D0-4063-A041-ED7AD74B1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195385</xdr:colOff>
      <xdr:row>101</xdr:row>
      <xdr:rowOff>117231</xdr:rowOff>
    </xdr:from>
    <xdr:to>
      <xdr:col>24</xdr:col>
      <xdr:colOff>97693</xdr:colOff>
      <xdr:row>115</xdr:row>
      <xdr:rowOff>68385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F4FCB4F-20C6-4ACA-9918-4AFF80582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</xdr:col>
      <xdr:colOff>29560</xdr:colOff>
      <xdr:row>1</xdr:row>
      <xdr:rowOff>9897</xdr:rowOff>
    </xdr:from>
    <xdr:to>
      <xdr:col>34</xdr:col>
      <xdr:colOff>22665</xdr:colOff>
      <xdr:row>7</xdr:row>
      <xdr:rowOff>410435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6742CD9-0D80-95AA-C714-EB6795B92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3394235" y="197923"/>
          <a:ext cx="11343936" cy="3102174"/>
        </a:xfrm>
        <a:prstGeom prst="rect">
          <a:avLst/>
        </a:prstGeom>
      </xdr:spPr>
    </xdr:pic>
    <xdr:clientData/>
  </xdr:twoCellAnchor>
  <xdr:twoCellAnchor editAs="oneCell">
    <xdr:from>
      <xdr:col>1</xdr:col>
      <xdr:colOff>49101</xdr:colOff>
      <xdr:row>12</xdr:row>
      <xdr:rowOff>9640</xdr:rowOff>
    </xdr:from>
    <xdr:to>
      <xdr:col>2</xdr:col>
      <xdr:colOff>1309330</xdr:colOff>
      <xdr:row>21</xdr:row>
      <xdr:rowOff>322256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6C98FBB-A884-893E-4BEC-12AF0D20D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1"/>
            </a:ext>
          </a:extLst>
        </a:blip>
        <a:stretch>
          <a:fillRect/>
        </a:stretch>
      </xdr:blipFill>
      <xdr:spPr>
        <a:xfrm>
          <a:off x="662659" y="4067043"/>
          <a:ext cx="2665476" cy="2014745"/>
        </a:xfrm>
        <a:prstGeom prst="rect">
          <a:avLst/>
        </a:prstGeom>
      </xdr:spPr>
    </xdr:pic>
    <xdr:clientData/>
  </xdr:twoCellAnchor>
  <xdr:twoCellAnchor editAs="oneCell">
    <xdr:from>
      <xdr:col>36</xdr:col>
      <xdr:colOff>29689</xdr:colOff>
      <xdr:row>61</xdr:row>
      <xdr:rowOff>29688</xdr:rowOff>
    </xdr:from>
    <xdr:to>
      <xdr:col>37</xdr:col>
      <xdr:colOff>1058884</xdr:colOff>
      <xdr:row>77</xdr:row>
      <xdr:rowOff>168234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B3BB14-0CDB-1CA8-2327-6A6F62ED9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3"/>
            </a:ext>
          </a:extLst>
        </a:blip>
        <a:stretch>
          <a:fillRect/>
        </a:stretch>
      </xdr:blipFill>
      <xdr:spPr>
        <a:xfrm>
          <a:off x="16180131" y="16110857"/>
          <a:ext cx="2147454" cy="2929247"/>
        </a:xfrm>
        <a:prstGeom prst="rect">
          <a:avLst/>
        </a:prstGeom>
      </xdr:spPr>
    </xdr:pic>
    <xdr:clientData/>
  </xdr:twoCellAnchor>
  <xdr:twoCellAnchor editAs="oneCell">
    <xdr:from>
      <xdr:col>36</xdr:col>
      <xdr:colOff>19793</xdr:colOff>
      <xdr:row>82</xdr:row>
      <xdr:rowOff>19792</xdr:rowOff>
    </xdr:from>
    <xdr:to>
      <xdr:col>37</xdr:col>
      <xdr:colOff>1068780</xdr:colOff>
      <xdr:row>98</xdr:row>
      <xdr:rowOff>178130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071733A-E27F-6F84-4009-D8758B931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70235" y="19950545"/>
          <a:ext cx="2167246" cy="3018312"/>
        </a:xfrm>
        <a:prstGeom prst="rect">
          <a:avLst/>
        </a:prstGeom>
      </xdr:spPr>
    </xdr:pic>
    <xdr:clientData/>
  </xdr:twoCellAnchor>
  <xdr:twoCellAnchor editAs="oneCell">
    <xdr:from>
      <xdr:col>36</xdr:col>
      <xdr:colOff>19792</xdr:colOff>
      <xdr:row>102</xdr:row>
      <xdr:rowOff>19793</xdr:rowOff>
    </xdr:from>
    <xdr:to>
      <xdr:col>37</xdr:col>
      <xdr:colOff>1068780</xdr:colOff>
      <xdr:row>118</xdr:row>
      <xdr:rowOff>178131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82B9AA3-F16B-0C7C-1EF3-5C764F3A8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6"/>
            </a:ext>
          </a:extLst>
        </a:blip>
        <a:stretch>
          <a:fillRect/>
        </a:stretch>
      </xdr:blipFill>
      <xdr:spPr>
        <a:xfrm>
          <a:off x="16170234" y="23869403"/>
          <a:ext cx="2167247" cy="3018312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7BB8-51CA-42AE-AB9E-D3EAE0A191FB}">
  <sheetPr>
    <tabColor theme="1" tint="4.9989318521683403E-2"/>
  </sheetPr>
  <dimension ref="A1:AR120"/>
  <sheetViews>
    <sheetView tabSelected="1" zoomScale="60" zoomScaleNormal="60" workbookViewId="0">
      <selection activeCell="AA50" sqref="AA50"/>
    </sheetView>
  </sheetViews>
  <sheetFormatPr defaultRowHeight="14.4" x14ac:dyDescent="0.3"/>
  <cols>
    <col min="1" max="1" width="8.88671875" style="1"/>
    <col min="2" max="2" width="20.5546875" style="1" customWidth="1"/>
    <col min="3" max="3" width="19.5546875" style="1" customWidth="1"/>
    <col min="4" max="34" width="5.33203125" style="1" customWidth="1"/>
    <col min="35" max="35" width="14.77734375" style="1" customWidth="1"/>
    <col min="36" max="36" width="7.109375" style="1" customWidth="1"/>
    <col min="37" max="37" width="16.33203125" style="1" customWidth="1"/>
    <col min="38" max="39" width="15.6640625" style="1" customWidth="1"/>
    <col min="40" max="40" width="14.88671875" style="1" hidden="1" customWidth="1"/>
    <col min="41" max="41" width="12.5546875" style="1" hidden="1" customWidth="1"/>
    <col min="42" max="42" width="8.88671875" style="1" hidden="1" customWidth="1"/>
    <col min="43" max="43" width="19.5546875" style="1" hidden="1" customWidth="1"/>
    <col min="44" max="44" width="8.88671875" style="1" hidden="1" customWidth="1"/>
    <col min="45" max="16384" width="8.88671875" style="1"/>
  </cols>
  <sheetData>
    <row r="1" spans="1:41" ht="15" thickTop="1" x14ac:dyDescent="0.3">
      <c r="AJ1" s="236" t="s">
        <v>18</v>
      </c>
      <c r="AK1" s="237"/>
      <c r="AL1" s="238"/>
    </row>
    <row r="2" spans="1:41" x14ac:dyDescent="0.3">
      <c r="D2" s="253" t="e" vm="1">
        <v>#VALUE!</v>
      </c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5"/>
      <c r="AJ2" s="239"/>
      <c r="AK2" s="240"/>
      <c r="AL2" s="241"/>
    </row>
    <row r="3" spans="1:41" ht="28.8" customHeight="1" x14ac:dyDescent="0.3">
      <c r="B3" s="250">
        <f>C8</f>
        <v>46266</v>
      </c>
      <c r="C3" s="250"/>
      <c r="D3" s="256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  <c r="AC3" s="257"/>
      <c r="AD3" s="257"/>
      <c r="AE3" s="257"/>
      <c r="AF3" s="257"/>
      <c r="AG3" s="257"/>
      <c r="AH3" s="258"/>
      <c r="AJ3" s="239"/>
      <c r="AK3" s="240"/>
      <c r="AL3" s="241"/>
    </row>
    <row r="4" spans="1:41" ht="35.4" customHeight="1" x14ac:dyDescent="0.3">
      <c r="B4" s="250"/>
      <c r="C4" s="250"/>
      <c r="D4" s="256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  <c r="AF4" s="257"/>
      <c r="AG4" s="257"/>
      <c r="AH4" s="258"/>
      <c r="AJ4" s="242" t="str">
        <f>IFERROR(_xlfn.XLOOKUP(1,$AP$29:$AP$57,$B$29:$B$57),"")</f>
        <v>Habit Tracker 01</v>
      </c>
      <c r="AK4" s="243"/>
      <c r="AL4" s="25">
        <f>IFERROR(_xlfn.XLOOKUP(1,$AP$29:$AP$57,$AN$29:$AN$57),"")</f>
        <v>31</v>
      </c>
    </row>
    <row r="5" spans="1:41" ht="38.4" customHeight="1" x14ac:dyDescent="0.3">
      <c r="B5" s="251" t="str">
        <f>"Habit Tracker"</f>
        <v>Habit Tracker</v>
      </c>
      <c r="C5" s="251"/>
      <c r="D5" s="256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8"/>
      <c r="AJ5" s="242" t="str">
        <f>IFERROR(_xlfn.XLOOKUP(2,$AP$29:$AP$57,$B$29:$B$57),"")</f>
        <v>Habit Tracker 12</v>
      </c>
      <c r="AK5" s="243"/>
      <c r="AL5" s="25">
        <f>IFERROR(_xlfn.XLOOKUP(2,$AP$29:$AP$57,$AN$29:$AN$57),"")</f>
        <v>30</v>
      </c>
    </row>
    <row r="6" spans="1:41" ht="38.4" customHeight="1" x14ac:dyDescent="0.3">
      <c r="B6" s="251"/>
      <c r="C6" s="251"/>
      <c r="D6" s="256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  <c r="AF6" s="257"/>
      <c r="AG6" s="257"/>
      <c r="AH6" s="258"/>
      <c r="AJ6" s="242" t="str">
        <f>IFERROR(_xlfn.XLOOKUP(3,$AP$29:$AP$57,$B$29:$B$57),"")</f>
        <v>Habit Tracker 13</v>
      </c>
      <c r="AK6" s="243"/>
      <c r="AL6" s="25">
        <f t="shared" ref="AL6" si="0">IFERROR(_xlfn.XLOOKUP(1,$AP$29:$AP$57,$AN$29:$AN$57),"")</f>
        <v>31</v>
      </c>
    </row>
    <row r="7" spans="1:41" ht="58.2" customHeight="1" thickBot="1" x14ac:dyDescent="0.35">
      <c r="B7" s="252"/>
      <c r="C7" s="252"/>
      <c r="D7" s="256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  <c r="AF7" s="257"/>
      <c r="AG7" s="257"/>
      <c r="AH7" s="258"/>
      <c r="AJ7" s="246" t="s">
        <v>19</v>
      </c>
      <c r="AK7" s="247"/>
      <c r="AL7" s="244" t="e" vm="2">
        <v>#VALUE!</v>
      </c>
      <c r="AM7" s="26"/>
    </row>
    <row r="8" spans="1:41" ht="32.4" customHeight="1" thickBot="1" x14ac:dyDescent="0.35">
      <c r="B8" s="7" t="s">
        <v>0</v>
      </c>
      <c r="C8" s="18">
        <v>46266</v>
      </c>
      <c r="D8" s="259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260"/>
      <c r="Z8" s="260"/>
      <c r="AA8" s="260"/>
      <c r="AB8" s="260"/>
      <c r="AC8" s="260"/>
      <c r="AD8" s="260"/>
      <c r="AE8" s="260"/>
      <c r="AF8" s="260"/>
      <c r="AG8" s="260"/>
      <c r="AH8" s="261"/>
      <c r="AJ8" s="248"/>
      <c r="AK8" s="249"/>
      <c r="AL8" s="245"/>
      <c r="AM8" s="26"/>
    </row>
    <row r="9" spans="1:41" ht="15" thickBot="1" x14ac:dyDescent="0.35"/>
    <row r="10" spans="1:41" ht="15" thickBot="1" x14ac:dyDescent="0.35">
      <c r="B10" s="262" t="str">
        <f>"Suzaif Shaikh"</f>
        <v>Suzaif Shaikh</v>
      </c>
      <c r="C10" s="263"/>
      <c r="AO10" s="1">
        <f>COUNTIF(D24:AH24,"&gt;=75%")</f>
        <v>22</v>
      </c>
    </row>
    <row r="11" spans="1:41" ht="15" thickTop="1" x14ac:dyDescent="0.3">
      <c r="B11" s="264"/>
      <c r="C11" s="265"/>
      <c r="AJ11" s="225" t="s">
        <v>20</v>
      </c>
      <c r="AK11" s="226"/>
      <c r="AL11" s="227"/>
    </row>
    <row r="12" spans="1:41" ht="15" thickBot="1" x14ac:dyDescent="0.35">
      <c r="B12" s="266"/>
      <c r="C12" s="267"/>
      <c r="AJ12" s="228"/>
      <c r="AK12" s="229"/>
      <c r="AL12" s="230"/>
    </row>
    <row r="13" spans="1:41" x14ac:dyDescent="0.3">
      <c r="A13" s="3"/>
      <c r="C13" s="4"/>
      <c r="AJ13" s="228"/>
      <c r="AK13" s="229"/>
      <c r="AL13" s="230"/>
    </row>
    <row r="14" spans="1:41" x14ac:dyDescent="0.3">
      <c r="A14" s="3"/>
      <c r="C14" s="3"/>
      <c r="AJ14" s="228"/>
      <c r="AK14" s="229"/>
      <c r="AL14" s="230"/>
      <c r="AO14" s="1" t="s">
        <v>5</v>
      </c>
    </row>
    <row r="15" spans="1:41" x14ac:dyDescent="0.3">
      <c r="B15" s="2"/>
      <c r="C15" s="3"/>
      <c r="AJ15" s="231" t="str">
        <f>IFERROR(IF($AR$27&lt;4,"",_xlfn.XLOOKUP($AR$27,$AP$29:$AP$57,$B$29:$B$57)),"")</f>
        <v/>
      </c>
      <c r="AK15" s="232"/>
      <c r="AL15" s="235" t="str">
        <f>IFERROR(IF($AR$27&lt;4,"",_xlfn.XLOOKUP($AR$27,$AP$29:$AP$57,$AN$29:$AN$57)),"")</f>
        <v/>
      </c>
      <c r="AO15" s="1" t="s">
        <v>8</v>
      </c>
    </row>
    <row r="16" spans="1:41" x14ac:dyDescent="0.3">
      <c r="A16" s="3"/>
      <c r="C16" s="3"/>
      <c r="AJ16" s="233"/>
      <c r="AK16" s="234"/>
      <c r="AL16" s="235"/>
      <c r="AO16" s="1" t="s">
        <v>6</v>
      </c>
    </row>
    <row r="17" spans="1:44" ht="14.4" customHeight="1" x14ac:dyDescent="0.3">
      <c r="A17" s="3"/>
      <c r="C17" s="3"/>
      <c r="AJ17" s="231" t="str">
        <f>IFERROR(IF($AR$27&lt;4,"",_xlfn.XLOOKUP($AR$27-1,$AP$29:$AP$57,$B$29:$B$57)),"")</f>
        <v>Habit Tracker 28</v>
      </c>
      <c r="AK17" s="232"/>
      <c r="AL17" s="235">
        <f>IFERROR(IF($AR$27&lt;4,"",_xlfn.XLOOKUP($AR$27-1,$AP$29:$AP$57,$AN$29:$AN$57)),"")</f>
        <v>6</v>
      </c>
      <c r="AO17" s="1" t="s">
        <v>7</v>
      </c>
    </row>
    <row r="18" spans="1:44" ht="14.4" customHeight="1" x14ac:dyDescent="0.3">
      <c r="A18" s="3"/>
      <c r="C18" s="3"/>
      <c r="AJ18" s="233"/>
      <c r="AK18" s="234"/>
      <c r="AL18" s="235"/>
    </row>
    <row r="19" spans="1:44" ht="14.4" customHeight="1" x14ac:dyDescent="0.3">
      <c r="A19" s="3"/>
      <c r="C19" s="3"/>
      <c r="AJ19" s="231" t="str">
        <f>IFERROR(IF($AR$27&lt;4,"",_xlfn.XLOOKUP($AR$27-2,$AP$29:$AP$57,$B$29:$B$57)),"")</f>
        <v>Habit Tracker 27</v>
      </c>
      <c r="AK19" s="232"/>
      <c r="AL19" s="235">
        <f>IFERROR(IF($AR$27&lt;4,"",_xlfn.XLOOKUP($AR$27-2,$AP$29:$AP$57,$AN$29:$AN$57)),"")</f>
        <v>12</v>
      </c>
    </row>
    <row r="20" spans="1:44" ht="14.4" customHeight="1" x14ac:dyDescent="0.3">
      <c r="A20" s="3"/>
      <c r="C20" s="3"/>
      <c r="AJ20" s="233"/>
      <c r="AK20" s="234"/>
      <c r="AL20" s="235"/>
    </row>
    <row r="21" spans="1:44" ht="21.6" customHeight="1" x14ac:dyDescent="0.3">
      <c r="A21" s="3"/>
      <c r="C21" s="3"/>
      <c r="AJ21" s="209" t="s">
        <v>21</v>
      </c>
      <c r="AK21" s="210"/>
      <c r="AL21" s="207" t="e" vm="3">
        <v>#VALUE!</v>
      </c>
    </row>
    <row r="22" spans="1:44" ht="27" customHeight="1" thickBot="1" x14ac:dyDescent="0.35">
      <c r="A22" s="3"/>
      <c r="C22" s="6"/>
      <c r="AJ22" s="211"/>
      <c r="AK22" s="212"/>
      <c r="AL22" s="208"/>
    </row>
    <row r="23" spans="1:44" ht="51.6" customHeight="1" thickTop="1" thickBot="1" x14ac:dyDescent="0.35">
      <c r="B23" s="5"/>
      <c r="D23" s="17" t="str">
        <f>IFERROR(IF(D24="","",IF(D24=0%,"",IF(AND(D24&lt;25%,D24&gt;0%),$AO$14,IF(AND(D24&lt;50%,D24&gt;25%),$AO$15,IF(AND(D24&lt;75%,D24&gt;50%),$AO$16,IF(AND(D24&lt;100%,D24&gt;75%),$AO$17)))))),"")</f>
        <v>😎</v>
      </c>
      <c r="E23" s="17" t="str">
        <f t="shared" ref="E23:AH23" si="1">IF(E24="","",IF(E24=0%,"",IF(AND(E24&lt;25%,E24&gt;0%),$AO$14,IF(AND(E24&lt;50%,E24&gt;25%),$AO$15,IF(AND(E24&lt;75%,E24&gt;50%),$AO$16,IF(AND(E24&lt;100%,E24&gt;75%),$AO$17))))))</f>
        <v>😎</v>
      </c>
      <c r="F23" s="17" t="str">
        <f t="shared" si="1"/>
        <v>😎</v>
      </c>
      <c r="G23" s="17" t="str">
        <f t="shared" si="1"/>
        <v>😎</v>
      </c>
      <c r="H23" s="17" t="str">
        <f t="shared" si="1"/>
        <v>😎</v>
      </c>
      <c r="I23" s="17" t="str">
        <f t="shared" si="1"/>
        <v>😎</v>
      </c>
      <c r="J23" s="17" t="str">
        <f t="shared" si="1"/>
        <v>😎</v>
      </c>
      <c r="K23" s="17" t="str">
        <f t="shared" si="1"/>
        <v>😎</v>
      </c>
      <c r="L23" s="17" t="str">
        <f t="shared" si="1"/>
        <v>😎</v>
      </c>
      <c r="M23" s="17" t="str">
        <f t="shared" si="1"/>
        <v>😎</v>
      </c>
      <c r="N23" s="17" t="str">
        <f t="shared" si="1"/>
        <v>😎</v>
      </c>
      <c r="O23" s="17" t="str">
        <f t="shared" si="1"/>
        <v>😏</v>
      </c>
      <c r="P23" s="17" t="str">
        <f t="shared" si="1"/>
        <v>😎</v>
      </c>
      <c r="Q23" s="17" t="str">
        <f t="shared" si="1"/>
        <v>😎</v>
      </c>
      <c r="R23" s="17" t="str">
        <f t="shared" si="1"/>
        <v>😎</v>
      </c>
      <c r="S23" s="17" t="str">
        <f t="shared" si="1"/>
        <v>😎</v>
      </c>
      <c r="T23" s="17" t="str">
        <f t="shared" si="1"/>
        <v>😎</v>
      </c>
      <c r="U23" s="17" t="str">
        <f t="shared" si="1"/>
        <v>😎</v>
      </c>
      <c r="V23" s="17" t="str">
        <f t="shared" si="1"/>
        <v>😎</v>
      </c>
      <c r="W23" s="17" t="str">
        <f t="shared" si="1"/>
        <v>😎</v>
      </c>
      <c r="X23" s="17" t="str">
        <f t="shared" si="1"/>
        <v>😏</v>
      </c>
      <c r="Y23" s="17" t="str">
        <f t="shared" si="1"/>
        <v>😎</v>
      </c>
      <c r="Z23" s="17" t="str">
        <f t="shared" si="1"/>
        <v>😏</v>
      </c>
      <c r="AA23" s="17" t="str">
        <f t="shared" si="1"/>
        <v>😏</v>
      </c>
      <c r="AB23" s="17" t="str">
        <f t="shared" si="1"/>
        <v>😎</v>
      </c>
      <c r="AC23" s="17" t="str">
        <f t="shared" si="1"/>
        <v>🙂</v>
      </c>
      <c r="AD23" s="17" t="str">
        <f t="shared" si="1"/>
        <v>😔</v>
      </c>
      <c r="AE23" s="17" t="str">
        <f t="shared" si="1"/>
        <v>😏</v>
      </c>
      <c r="AF23" s="17" t="str">
        <f t="shared" si="1"/>
        <v>😔</v>
      </c>
      <c r="AG23" s="17" t="str">
        <f t="shared" si="1"/>
        <v>😎</v>
      </c>
      <c r="AH23" s="17" t="str">
        <f t="shared" si="1"/>
        <v>😏</v>
      </c>
      <c r="AI23" s="73"/>
      <c r="AJ23" s="72"/>
      <c r="AK23" s="72"/>
      <c r="AL23" s="72"/>
    </row>
    <row r="24" spans="1:44" x14ac:dyDescent="0.3">
      <c r="B24" s="268" t="s">
        <v>1</v>
      </c>
      <c r="C24" s="269"/>
      <c r="D24" s="16">
        <f>IFERROR(D26/(D25+D26),"")</f>
        <v>0.89655172413793105</v>
      </c>
      <c r="E24" s="16">
        <f t="shared" ref="E24:AH24" si="2">IFERROR(E26/(E25+E26),"")</f>
        <v>0.96551724137931039</v>
      </c>
      <c r="F24" s="16">
        <f t="shared" si="2"/>
        <v>0.96551724137931039</v>
      </c>
      <c r="G24" s="16">
        <f t="shared" si="2"/>
        <v>0.89655172413793105</v>
      </c>
      <c r="H24" s="16">
        <f t="shared" si="2"/>
        <v>0.89655172413793105</v>
      </c>
      <c r="I24" s="16">
        <f t="shared" si="2"/>
        <v>0.89655172413793105</v>
      </c>
      <c r="J24" s="16">
        <f t="shared" si="2"/>
        <v>0.93103448275862066</v>
      </c>
      <c r="K24" s="16">
        <f t="shared" si="2"/>
        <v>0.82758620689655171</v>
      </c>
      <c r="L24" s="16">
        <f t="shared" si="2"/>
        <v>0.75862068965517238</v>
      </c>
      <c r="M24" s="16">
        <f t="shared" si="2"/>
        <v>0.86206896551724133</v>
      </c>
      <c r="N24" s="16">
        <f t="shared" si="2"/>
        <v>0.93103448275862066</v>
      </c>
      <c r="O24" s="16">
        <f t="shared" si="2"/>
        <v>0.68965517241379315</v>
      </c>
      <c r="P24" s="16">
        <f t="shared" si="2"/>
        <v>0.82758620689655171</v>
      </c>
      <c r="Q24" s="16">
        <f t="shared" si="2"/>
        <v>0.89655172413793105</v>
      </c>
      <c r="R24" s="16">
        <f t="shared" si="2"/>
        <v>0.82758620689655171</v>
      </c>
      <c r="S24" s="16">
        <f t="shared" si="2"/>
        <v>0.93103448275862066</v>
      </c>
      <c r="T24" s="16">
        <f t="shared" si="2"/>
        <v>0.93103448275862066</v>
      </c>
      <c r="U24" s="16">
        <f t="shared" si="2"/>
        <v>0.89655172413793105</v>
      </c>
      <c r="V24" s="16">
        <f t="shared" si="2"/>
        <v>0.82758620689655171</v>
      </c>
      <c r="W24" s="16">
        <f t="shared" si="2"/>
        <v>0.89655172413793105</v>
      </c>
      <c r="X24" s="16">
        <f t="shared" si="2"/>
        <v>0.72413793103448276</v>
      </c>
      <c r="Y24" s="16">
        <f t="shared" si="2"/>
        <v>0.86206896551724133</v>
      </c>
      <c r="Z24" s="16">
        <f t="shared" si="2"/>
        <v>0.72413793103448276</v>
      </c>
      <c r="AA24" s="16">
        <f t="shared" si="2"/>
        <v>0.65517241379310343</v>
      </c>
      <c r="AB24" s="16">
        <f t="shared" si="2"/>
        <v>0.89655172413793105</v>
      </c>
      <c r="AC24" s="16">
        <f t="shared" si="2"/>
        <v>0.44827586206896552</v>
      </c>
      <c r="AD24" s="16">
        <f t="shared" si="2"/>
        <v>0.20689655172413793</v>
      </c>
      <c r="AE24" s="16">
        <f t="shared" si="2"/>
        <v>0.55172413793103448</v>
      </c>
      <c r="AF24" s="16">
        <f t="shared" si="2"/>
        <v>6.8965517241379309E-2</v>
      </c>
      <c r="AG24" s="16">
        <f t="shared" si="2"/>
        <v>0.75862068965517238</v>
      </c>
      <c r="AH24" s="68">
        <f t="shared" si="2"/>
        <v>0.55172413793103448</v>
      </c>
      <c r="AI24" s="216"/>
      <c r="AJ24" s="217"/>
      <c r="AK24" s="217"/>
      <c r="AL24" s="218"/>
      <c r="AQ24" s="22" t="s">
        <v>12</v>
      </c>
      <c r="AR24" s="1">
        <f>SUM(AN29:AN57)</f>
        <v>696</v>
      </c>
    </row>
    <row r="25" spans="1:44" x14ac:dyDescent="0.3">
      <c r="B25" s="270" t="s">
        <v>3</v>
      </c>
      <c r="C25" s="271"/>
      <c r="D25" s="15">
        <f>COUNTIFS($B$29:$B$58,"&lt;&gt;",D29:D58,FALSE)</f>
        <v>3</v>
      </c>
      <c r="E25" s="15">
        <f t="shared" ref="E25:AH25" si="3">COUNTIFS($B$29:$B$58,"&lt;&gt;",E29:E58,FALSE)</f>
        <v>1</v>
      </c>
      <c r="F25" s="15">
        <f t="shared" si="3"/>
        <v>1</v>
      </c>
      <c r="G25" s="15">
        <f t="shared" si="3"/>
        <v>3</v>
      </c>
      <c r="H25" s="15">
        <f t="shared" si="3"/>
        <v>3</v>
      </c>
      <c r="I25" s="15">
        <f t="shared" si="3"/>
        <v>3</v>
      </c>
      <c r="J25" s="15">
        <f t="shared" si="3"/>
        <v>2</v>
      </c>
      <c r="K25" s="15">
        <f t="shared" si="3"/>
        <v>5</v>
      </c>
      <c r="L25" s="15">
        <f t="shared" si="3"/>
        <v>7</v>
      </c>
      <c r="M25" s="15">
        <f t="shared" si="3"/>
        <v>4</v>
      </c>
      <c r="N25" s="15">
        <f t="shared" si="3"/>
        <v>2</v>
      </c>
      <c r="O25" s="15">
        <f t="shared" si="3"/>
        <v>9</v>
      </c>
      <c r="P25" s="15">
        <f t="shared" si="3"/>
        <v>5</v>
      </c>
      <c r="Q25" s="15">
        <f t="shared" si="3"/>
        <v>3</v>
      </c>
      <c r="R25" s="15">
        <f t="shared" si="3"/>
        <v>5</v>
      </c>
      <c r="S25" s="15">
        <f t="shared" si="3"/>
        <v>2</v>
      </c>
      <c r="T25" s="15">
        <f t="shared" si="3"/>
        <v>2</v>
      </c>
      <c r="U25" s="15">
        <f t="shared" si="3"/>
        <v>3</v>
      </c>
      <c r="V25" s="15">
        <f t="shared" si="3"/>
        <v>5</v>
      </c>
      <c r="W25" s="15">
        <f t="shared" si="3"/>
        <v>3</v>
      </c>
      <c r="X25" s="15">
        <f t="shared" si="3"/>
        <v>8</v>
      </c>
      <c r="Y25" s="15">
        <f t="shared" si="3"/>
        <v>4</v>
      </c>
      <c r="Z25" s="15">
        <f t="shared" si="3"/>
        <v>8</v>
      </c>
      <c r="AA25" s="15">
        <f t="shared" si="3"/>
        <v>10</v>
      </c>
      <c r="AB25" s="15">
        <f t="shared" si="3"/>
        <v>3</v>
      </c>
      <c r="AC25" s="15">
        <f t="shared" si="3"/>
        <v>16</v>
      </c>
      <c r="AD25" s="15">
        <f t="shared" si="3"/>
        <v>23</v>
      </c>
      <c r="AE25" s="15">
        <f t="shared" si="3"/>
        <v>13</v>
      </c>
      <c r="AF25" s="15">
        <f t="shared" si="3"/>
        <v>27</v>
      </c>
      <c r="AG25" s="15">
        <f t="shared" si="3"/>
        <v>7</v>
      </c>
      <c r="AH25" s="69">
        <f t="shared" si="3"/>
        <v>13</v>
      </c>
      <c r="AI25" s="219"/>
      <c r="AJ25" s="220"/>
      <c r="AK25" s="220"/>
      <c r="AL25" s="221"/>
      <c r="AQ25" s="22" t="s">
        <v>10</v>
      </c>
      <c r="AR25" s="1">
        <f>SUM(AO29:AO57)</f>
        <v>899</v>
      </c>
    </row>
    <row r="26" spans="1:44" ht="15" thickBot="1" x14ac:dyDescent="0.35">
      <c r="B26" s="272" t="s">
        <v>2</v>
      </c>
      <c r="C26" s="273"/>
      <c r="D26" s="14">
        <f>COUNTIFS($B$29:$B$58,"&lt;&gt;",D29:D58,TRUE)</f>
        <v>26</v>
      </c>
      <c r="E26" s="14">
        <f t="shared" ref="E26:AH26" si="4">COUNTIFS($B$29:$B$58,"&lt;&gt;",E29:E58,TRUE)</f>
        <v>28</v>
      </c>
      <c r="F26" s="14">
        <f t="shared" si="4"/>
        <v>28</v>
      </c>
      <c r="G26" s="14">
        <f t="shared" si="4"/>
        <v>26</v>
      </c>
      <c r="H26" s="14">
        <f t="shared" si="4"/>
        <v>26</v>
      </c>
      <c r="I26" s="14">
        <f t="shared" si="4"/>
        <v>26</v>
      </c>
      <c r="J26" s="14">
        <f t="shared" si="4"/>
        <v>27</v>
      </c>
      <c r="K26" s="14">
        <f t="shared" si="4"/>
        <v>24</v>
      </c>
      <c r="L26" s="14">
        <f t="shared" si="4"/>
        <v>22</v>
      </c>
      <c r="M26" s="14">
        <f t="shared" si="4"/>
        <v>25</v>
      </c>
      <c r="N26" s="14">
        <f t="shared" si="4"/>
        <v>27</v>
      </c>
      <c r="O26" s="14">
        <f t="shared" si="4"/>
        <v>20</v>
      </c>
      <c r="P26" s="14">
        <f t="shared" si="4"/>
        <v>24</v>
      </c>
      <c r="Q26" s="14">
        <f t="shared" si="4"/>
        <v>26</v>
      </c>
      <c r="R26" s="14">
        <f t="shared" si="4"/>
        <v>24</v>
      </c>
      <c r="S26" s="14">
        <f t="shared" si="4"/>
        <v>27</v>
      </c>
      <c r="T26" s="14">
        <f t="shared" si="4"/>
        <v>27</v>
      </c>
      <c r="U26" s="14">
        <f t="shared" si="4"/>
        <v>26</v>
      </c>
      <c r="V26" s="14">
        <f t="shared" si="4"/>
        <v>24</v>
      </c>
      <c r="W26" s="14">
        <f t="shared" si="4"/>
        <v>26</v>
      </c>
      <c r="X26" s="14">
        <f t="shared" si="4"/>
        <v>21</v>
      </c>
      <c r="Y26" s="14">
        <f t="shared" si="4"/>
        <v>25</v>
      </c>
      <c r="Z26" s="14">
        <f t="shared" si="4"/>
        <v>21</v>
      </c>
      <c r="AA26" s="14">
        <f t="shared" si="4"/>
        <v>19</v>
      </c>
      <c r="AB26" s="14">
        <f t="shared" si="4"/>
        <v>26</v>
      </c>
      <c r="AC26" s="14">
        <f t="shared" si="4"/>
        <v>13</v>
      </c>
      <c r="AD26" s="14">
        <f t="shared" si="4"/>
        <v>6</v>
      </c>
      <c r="AE26" s="14">
        <f t="shared" si="4"/>
        <v>16</v>
      </c>
      <c r="AF26" s="14">
        <f t="shared" si="4"/>
        <v>2</v>
      </c>
      <c r="AG26" s="14">
        <f t="shared" si="4"/>
        <v>22</v>
      </c>
      <c r="AH26" s="70">
        <f t="shared" si="4"/>
        <v>16</v>
      </c>
      <c r="AI26" s="219"/>
      <c r="AJ26" s="220"/>
      <c r="AK26" s="220"/>
      <c r="AL26" s="221"/>
      <c r="AQ26" s="22" t="s">
        <v>13</v>
      </c>
      <c r="AR26" s="23">
        <f>IFERROR(AR24/AR25,"")</f>
        <v>0.77419354838709675</v>
      </c>
    </row>
    <row r="27" spans="1:44" x14ac:dyDescent="0.3">
      <c r="B27" s="274" t="s">
        <v>4</v>
      </c>
      <c r="C27" s="275"/>
      <c r="D27" s="8">
        <f>D28</f>
        <v>46266</v>
      </c>
      <c r="E27" s="9">
        <f t="shared" ref="E27:AH27" si="5">E28</f>
        <v>46267</v>
      </c>
      <c r="F27" s="9">
        <f t="shared" si="5"/>
        <v>46268</v>
      </c>
      <c r="G27" s="9">
        <f t="shared" si="5"/>
        <v>46269</v>
      </c>
      <c r="H27" s="9">
        <f t="shared" si="5"/>
        <v>46270</v>
      </c>
      <c r="I27" s="9">
        <f t="shared" si="5"/>
        <v>46271</v>
      </c>
      <c r="J27" s="92">
        <f t="shared" si="5"/>
        <v>46272</v>
      </c>
      <c r="K27" s="94">
        <f t="shared" si="5"/>
        <v>46273</v>
      </c>
      <c r="L27" s="10">
        <f t="shared" si="5"/>
        <v>46274</v>
      </c>
      <c r="M27" s="10">
        <f t="shared" si="5"/>
        <v>46275</v>
      </c>
      <c r="N27" s="10">
        <f t="shared" si="5"/>
        <v>46276</v>
      </c>
      <c r="O27" s="10">
        <f t="shared" si="5"/>
        <v>46277</v>
      </c>
      <c r="P27" s="10">
        <f t="shared" si="5"/>
        <v>46278</v>
      </c>
      <c r="Q27" s="95">
        <f t="shared" si="5"/>
        <v>46279</v>
      </c>
      <c r="R27" s="105">
        <f t="shared" si="5"/>
        <v>46280</v>
      </c>
      <c r="S27" s="11">
        <f t="shared" si="5"/>
        <v>46281</v>
      </c>
      <c r="T27" s="11">
        <f t="shared" si="5"/>
        <v>46282</v>
      </c>
      <c r="U27" s="11">
        <f t="shared" si="5"/>
        <v>46283</v>
      </c>
      <c r="V27" s="11">
        <f t="shared" si="5"/>
        <v>46284</v>
      </c>
      <c r="W27" s="11">
        <f t="shared" si="5"/>
        <v>46285</v>
      </c>
      <c r="X27" s="106">
        <f t="shared" si="5"/>
        <v>46286</v>
      </c>
      <c r="Y27" s="121">
        <f t="shared" si="5"/>
        <v>46287</v>
      </c>
      <c r="Z27" s="12">
        <f t="shared" si="5"/>
        <v>46288</v>
      </c>
      <c r="AA27" s="12">
        <f t="shared" si="5"/>
        <v>46289</v>
      </c>
      <c r="AB27" s="12">
        <f t="shared" si="5"/>
        <v>46290</v>
      </c>
      <c r="AC27" s="12">
        <f t="shared" si="5"/>
        <v>46291</v>
      </c>
      <c r="AD27" s="12">
        <f t="shared" si="5"/>
        <v>46292</v>
      </c>
      <c r="AE27" s="122">
        <f t="shared" si="5"/>
        <v>46293</v>
      </c>
      <c r="AF27" s="116">
        <f t="shared" si="5"/>
        <v>46294</v>
      </c>
      <c r="AG27" s="13">
        <f t="shared" si="5"/>
        <v>46295</v>
      </c>
      <c r="AH27" s="71">
        <f t="shared" si="5"/>
        <v>46296</v>
      </c>
      <c r="AI27" s="222"/>
      <c r="AJ27" s="223"/>
      <c r="AK27" s="223"/>
      <c r="AL27" s="224"/>
      <c r="AQ27" s="22" t="s">
        <v>14</v>
      </c>
      <c r="AR27" s="1">
        <f>COUNTA(B29:C57)</f>
        <v>29</v>
      </c>
    </row>
    <row r="28" spans="1:44" ht="16.2" thickBot="1" x14ac:dyDescent="0.35">
      <c r="B28" s="276"/>
      <c r="C28" s="277"/>
      <c r="D28" s="76">
        <f>C8</f>
        <v>46266</v>
      </c>
      <c r="E28" s="77">
        <f>D28+1</f>
        <v>46267</v>
      </c>
      <c r="F28" s="77">
        <f t="shared" ref="F28:AG28" si="6">E28+1</f>
        <v>46268</v>
      </c>
      <c r="G28" s="77">
        <f t="shared" si="6"/>
        <v>46269</v>
      </c>
      <c r="H28" s="77">
        <f t="shared" si="6"/>
        <v>46270</v>
      </c>
      <c r="I28" s="77">
        <f t="shared" si="6"/>
        <v>46271</v>
      </c>
      <c r="J28" s="93">
        <f t="shared" si="6"/>
        <v>46272</v>
      </c>
      <c r="K28" s="96">
        <f t="shared" si="6"/>
        <v>46273</v>
      </c>
      <c r="L28" s="78">
        <f t="shared" si="6"/>
        <v>46274</v>
      </c>
      <c r="M28" s="78">
        <f t="shared" si="6"/>
        <v>46275</v>
      </c>
      <c r="N28" s="78">
        <f t="shared" si="6"/>
        <v>46276</v>
      </c>
      <c r="O28" s="78">
        <f t="shared" si="6"/>
        <v>46277</v>
      </c>
      <c r="P28" s="78">
        <f t="shared" si="6"/>
        <v>46278</v>
      </c>
      <c r="Q28" s="97">
        <f t="shared" si="6"/>
        <v>46279</v>
      </c>
      <c r="R28" s="107">
        <f t="shared" si="6"/>
        <v>46280</v>
      </c>
      <c r="S28" s="79">
        <f t="shared" si="6"/>
        <v>46281</v>
      </c>
      <c r="T28" s="79">
        <f t="shared" si="6"/>
        <v>46282</v>
      </c>
      <c r="U28" s="79">
        <f t="shared" si="6"/>
        <v>46283</v>
      </c>
      <c r="V28" s="79">
        <f t="shared" si="6"/>
        <v>46284</v>
      </c>
      <c r="W28" s="79">
        <f t="shared" si="6"/>
        <v>46285</v>
      </c>
      <c r="X28" s="108">
        <f t="shared" si="6"/>
        <v>46286</v>
      </c>
      <c r="Y28" s="123">
        <f t="shared" si="6"/>
        <v>46287</v>
      </c>
      <c r="Z28" s="80">
        <f t="shared" si="6"/>
        <v>46288</v>
      </c>
      <c r="AA28" s="80">
        <f t="shared" si="6"/>
        <v>46289</v>
      </c>
      <c r="AB28" s="80">
        <f t="shared" si="6"/>
        <v>46290</v>
      </c>
      <c r="AC28" s="80">
        <f t="shared" si="6"/>
        <v>46291</v>
      </c>
      <c r="AD28" s="80">
        <f t="shared" si="6"/>
        <v>46292</v>
      </c>
      <c r="AE28" s="124">
        <f t="shared" si="6"/>
        <v>46293</v>
      </c>
      <c r="AF28" s="117">
        <f t="shared" si="6"/>
        <v>46294</v>
      </c>
      <c r="AG28" s="81">
        <f t="shared" si="6"/>
        <v>46295</v>
      </c>
      <c r="AH28" s="82">
        <f>AG28+1</f>
        <v>46296</v>
      </c>
      <c r="AI28" s="213" t="s">
        <v>13</v>
      </c>
      <c r="AJ28" s="214"/>
      <c r="AK28" s="214"/>
      <c r="AL28" s="215"/>
      <c r="AM28" s="2"/>
      <c r="AN28" s="21" t="s">
        <v>9</v>
      </c>
      <c r="AO28" s="21" t="s">
        <v>10</v>
      </c>
      <c r="AP28" s="21" t="s">
        <v>11</v>
      </c>
    </row>
    <row r="29" spans="1:44" ht="19.8" x14ac:dyDescent="0.3">
      <c r="B29" s="278" t="s">
        <v>35</v>
      </c>
      <c r="C29" s="279"/>
      <c r="D29" s="28" t="b">
        <v>1</v>
      </c>
      <c r="E29" s="29" t="b">
        <v>1</v>
      </c>
      <c r="F29" s="29" t="b">
        <v>1</v>
      </c>
      <c r="G29" s="29" t="b">
        <v>1</v>
      </c>
      <c r="H29" s="29" t="b">
        <v>1</v>
      </c>
      <c r="I29" s="29" t="b">
        <v>1</v>
      </c>
      <c r="J29" s="89" t="b">
        <v>1</v>
      </c>
      <c r="K29" s="98" t="b">
        <v>1</v>
      </c>
      <c r="L29" s="30" t="b">
        <v>1</v>
      </c>
      <c r="M29" s="30" t="b">
        <v>1</v>
      </c>
      <c r="N29" s="30" t="b">
        <v>1</v>
      </c>
      <c r="O29" s="30" t="b">
        <v>1</v>
      </c>
      <c r="P29" s="30" t="b">
        <v>1</v>
      </c>
      <c r="Q29" s="99" t="b">
        <v>1</v>
      </c>
      <c r="R29" s="109" t="b">
        <v>1</v>
      </c>
      <c r="S29" s="31" t="b">
        <v>1</v>
      </c>
      <c r="T29" s="31" t="b">
        <v>1</v>
      </c>
      <c r="U29" s="31" t="b">
        <v>1</v>
      </c>
      <c r="V29" s="31" t="b">
        <v>1</v>
      </c>
      <c r="W29" s="31" t="b">
        <v>1</v>
      </c>
      <c r="X29" s="110" t="b">
        <v>1</v>
      </c>
      <c r="Y29" s="125" t="b">
        <v>1</v>
      </c>
      <c r="Z29" s="32" t="b">
        <v>1</v>
      </c>
      <c r="AA29" s="32" t="b">
        <v>1</v>
      </c>
      <c r="AB29" s="32" t="b">
        <v>1</v>
      </c>
      <c r="AC29" s="32" t="b">
        <v>1</v>
      </c>
      <c r="AD29" s="32" t="b">
        <v>1</v>
      </c>
      <c r="AE29" s="126" t="b">
        <v>1</v>
      </c>
      <c r="AF29" s="118" t="b">
        <v>1</v>
      </c>
      <c r="AG29" s="33" t="b">
        <v>1</v>
      </c>
      <c r="AH29" s="34" t="b">
        <v>1</v>
      </c>
      <c r="AI29" s="74" t="str">
        <f>IFERROR(IF(B29="","",AN29&amp;"  /  "&amp;AO29),"")</f>
        <v>31  /  31</v>
      </c>
      <c r="AJ29" s="47">
        <f>IFERROR(AN29/AO29,"")</f>
        <v>1</v>
      </c>
      <c r="AK29" s="198" t="str">
        <f>IFERROR(REPT("|",AN29/AO29*100),"")</f>
        <v>||||||||||||||||||||||||||||||||||||||||||||||||||||||||||||||||||||||||||||||||||||||||||||||||||||</v>
      </c>
      <c r="AL29" s="199"/>
      <c r="AN29" s="19">
        <f>IF(B29="","",COUNTIFS(D29:AH29,TRUE,$D$27:$AH$27,"&gt;0"))</f>
        <v>31</v>
      </c>
      <c r="AO29" s="19">
        <f t="shared" ref="AO29:AO57" si="7">IF(B29="","",COUNTIFS($D$27:$AH$27,"&gt;0"))</f>
        <v>31</v>
      </c>
      <c r="AP29" s="20">
        <f>IFERROR(_xlfn.RANK.EQ(AN29,$AI$29:$AN$56,0)+COUNTIF($AN29:AN$29,AN29)-1,"")</f>
        <v>1</v>
      </c>
      <c r="AQ29" s="1" t="str">
        <f>IFERROR(_xlfn.RANK.EQ(AN28,$AI$28:$AI$56,0)+COUNTIF($AN$28:AN28,AN28)-1,"")</f>
        <v/>
      </c>
    </row>
    <row r="30" spans="1:44" ht="19.8" x14ac:dyDescent="0.3">
      <c r="B30" s="203" t="s">
        <v>36</v>
      </c>
      <c r="C30" s="204"/>
      <c r="D30" s="86" t="b">
        <v>1</v>
      </c>
      <c r="E30" s="35" t="b">
        <v>1</v>
      </c>
      <c r="F30" s="83" t="b">
        <v>1</v>
      </c>
      <c r="G30" s="35" t="b">
        <v>1</v>
      </c>
      <c r="H30" s="83" t="b">
        <v>1</v>
      </c>
      <c r="I30" s="83" t="b">
        <v>1</v>
      </c>
      <c r="J30" s="90" t="b">
        <v>1</v>
      </c>
      <c r="K30" s="100" t="b">
        <v>1</v>
      </c>
      <c r="L30" s="84" t="b">
        <v>1</v>
      </c>
      <c r="M30" s="84" t="b">
        <v>1</v>
      </c>
      <c r="N30" s="84" t="b">
        <v>1</v>
      </c>
      <c r="O30" s="84" t="b">
        <v>1</v>
      </c>
      <c r="P30" s="84" t="b">
        <v>1</v>
      </c>
      <c r="Q30" s="101" t="b">
        <v>1</v>
      </c>
      <c r="R30" s="111" t="b">
        <v>1</v>
      </c>
      <c r="S30" s="85" t="b">
        <v>1</v>
      </c>
      <c r="T30" s="85" t="b">
        <v>1</v>
      </c>
      <c r="U30" s="85" t="b">
        <v>1</v>
      </c>
      <c r="V30" s="85" t="b">
        <v>1</v>
      </c>
      <c r="W30" s="37" t="b">
        <v>1</v>
      </c>
      <c r="X30" s="112" t="b">
        <v>1</v>
      </c>
      <c r="Y30" s="127" t="b">
        <v>0</v>
      </c>
      <c r="Z30" s="38" t="b">
        <v>0</v>
      </c>
      <c r="AA30" s="38" t="b">
        <v>0</v>
      </c>
      <c r="AB30" s="38" t="b">
        <v>0</v>
      </c>
      <c r="AC30" s="38" t="b">
        <v>0</v>
      </c>
      <c r="AD30" s="38" t="b">
        <v>0</v>
      </c>
      <c r="AE30" s="128" t="b">
        <v>0</v>
      </c>
      <c r="AF30" s="119" t="b">
        <v>0</v>
      </c>
      <c r="AG30" s="39" t="b">
        <v>0</v>
      </c>
      <c r="AH30" s="40" t="b">
        <v>0</v>
      </c>
      <c r="AI30" s="74" t="str">
        <f t="shared" ref="AI30:AI35" si="8">IFERROR(IF(B30="","",AN30&amp;"  /  "&amp;AO30),"")</f>
        <v>21  /  31</v>
      </c>
      <c r="AJ30" s="47">
        <f t="shared" ref="AJ30:AJ39" si="9">IFERROR(AN30/AO30,"")</f>
        <v>0.67741935483870963</v>
      </c>
      <c r="AK30" s="196" t="str">
        <f t="shared" ref="AK30:AK39" si="10">IFERROR(REPT("|",AN30/AO30*100),"")</f>
        <v>|||||||||||||||||||||||||||||||||||||||||||||||||||||||||||||||||||</v>
      </c>
      <c r="AL30" s="197"/>
      <c r="AM30" s="19"/>
      <c r="AN30" s="19">
        <f t="shared" ref="AN30:AN57" si="11">IF(B30="","",COUNTIFS(D30:AH30,TRUE,$D$27:$AH$27,"&gt;0"))</f>
        <v>21</v>
      </c>
      <c r="AO30" s="19">
        <f t="shared" si="7"/>
        <v>31</v>
      </c>
      <c r="AP30" s="20">
        <f>IFERROR(_xlfn.RANK.EQ(AN30,$AI$29:$AN$56,0)+COUNTIF($AN$29:AN30,AN30)-1,"")</f>
        <v>24</v>
      </c>
      <c r="AQ30" s="22" t="s">
        <v>15</v>
      </c>
      <c r="AR30" s="24">
        <f>AR26</f>
        <v>0.77419354838709675</v>
      </c>
    </row>
    <row r="31" spans="1:44" ht="19.8" x14ac:dyDescent="0.3">
      <c r="B31" s="203" t="s">
        <v>37</v>
      </c>
      <c r="C31" s="204"/>
      <c r="D31" s="86" t="b">
        <v>1</v>
      </c>
      <c r="E31" s="35" t="b">
        <v>1</v>
      </c>
      <c r="F31" s="83" t="b">
        <v>1</v>
      </c>
      <c r="G31" s="35" t="b">
        <v>1</v>
      </c>
      <c r="H31" s="83" t="b">
        <v>1</v>
      </c>
      <c r="I31" s="83" t="b">
        <v>1</v>
      </c>
      <c r="J31" s="90" t="b">
        <v>1</v>
      </c>
      <c r="K31" s="100" t="b">
        <v>1</v>
      </c>
      <c r="L31" s="84" t="b">
        <v>1</v>
      </c>
      <c r="M31" s="84" t="b">
        <v>1</v>
      </c>
      <c r="N31" s="84" t="b">
        <v>1</v>
      </c>
      <c r="O31" s="84" t="b">
        <v>1</v>
      </c>
      <c r="P31" s="84" t="b">
        <v>1</v>
      </c>
      <c r="Q31" s="101" t="b">
        <v>1</v>
      </c>
      <c r="R31" s="111" t="b">
        <v>1</v>
      </c>
      <c r="S31" s="85" t="b">
        <v>1</v>
      </c>
      <c r="T31" s="85" t="b">
        <v>1</v>
      </c>
      <c r="U31" s="85" t="b">
        <v>1</v>
      </c>
      <c r="V31" s="85" t="b">
        <v>1</v>
      </c>
      <c r="W31" s="37" t="b">
        <v>1</v>
      </c>
      <c r="X31" s="112" t="b">
        <v>1</v>
      </c>
      <c r="Y31" s="127" t="b">
        <v>0</v>
      </c>
      <c r="Z31" s="38" t="b">
        <v>0</v>
      </c>
      <c r="AA31" s="38" t="b">
        <v>1</v>
      </c>
      <c r="AB31" s="38" t="b">
        <v>1</v>
      </c>
      <c r="AC31" s="38" t="b">
        <v>0</v>
      </c>
      <c r="AD31" s="38" t="b">
        <v>0</v>
      </c>
      <c r="AE31" s="128" t="b">
        <v>0</v>
      </c>
      <c r="AF31" s="119" t="b">
        <v>0</v>
      </c>
      <c r="AG31" s="39" t="b">
        <v>0</v>
      </c>
      <c r="AH31" s="40" t="b">
        <v>0</v>
      </c>
      <c r="AI31" s="74" t="str">
        <f t="shared" si="8"/>
        <v>23  /  31</v>
      </c>
      <c r="AJ31" s="47">
        <f t="shared" si="9"/>
        <v>0.74193548387096775</v>
      </c>
      <c r="AK31" s="196" t="str">
        <f t="shared" si="10"/>
        <v>||||||||||||||||||||||||||||||||||||||||||||||||||||||||||||||||||||||||||</v>
      </c>
      <c r="AL31" s="197"/>
      <c r="AM31" s="19"/>
      <c r="AN31" s="19">
        <f t="shared" si="11"/>
        <v>23</v>
      </c>
      <c r="AO31" s="19">
        <f t="shared" si="7"/>
        <v>31</v>
      </c>
      <c r="AP31" s="20">
        <f>IFERROR(_xlfn.RANK.EQ(AN31,$AI$29:$AN$56,0)+COUNTIF($AN$29:AN31,AN31)-1,"")</f>
        <v>21</v>
      </c>
      <c r="AQ31" s="22" t="s">
        <v>16</v>
      </c>
      <c r="AR31" s="24">
        <f>AR32-AR30</f>
        <v>0.22580645161290325</v>
      </c>
    </row>
    <row r="32" spans="1:44" ht="19.8" x14ac:dyDescent="0.3">
      <c r="B32" s="203" t="s">
        <v>38</v>
      </c>
      <c r="C32" s="204"/>
      <c r="D32" s="86" t="b">
        <v>1</v>
      </c>
      <c r="E32" s="35" t="b">
        <v>1</v>
      </c>
      <c r="F32" s="83" t="b">
        <v>1</v>
      </c>
      <c r="G32" s="35" t="b">
        <v>1</v>
      </c>
      <c r="H32" s="83" t="b">
        <v>1</v>
      </c>
      <c r="I32" s="83" t="b">
        <v>1</v>
      </c>
      <c r="J32" s="90" t="b">
        <v>1</v>
      </c>
      <c r="K32" s="100" t="b">
        <v>1</v>
      </c>
      <c r="L32" s="84" t="b">
        <v>1</v>
      </c>
      <c r="M32" s="84" t="b">
        <v>1</v>
      </c>
      <c r="N32" s="84" t="b">
        <v>1</v>
      </c>
      <c r="O32" s="84" t="b">
        <v>1</v>
      </c>
      <c r="P32" s="84" t="b">
        <v>1</v>
      </c>
      <c r="Q32" s="101" t="b">
        <v>1</v>
      </c>
      <c r="R32" s="111" t="b">
        <v>1</v>
      </c>
      <c r="S32" s="85" t="b">
        <v>1</v>
      </c>
      <c r="T32" s="85" t="b">
        <v>1</v>
      </c>
      <c r="U32" s="85" t="b">
        <v>1</v>
      </c>
      <c r="V32" s="85" t="b">
        <v>1</v>
      </c>
      <c r="W32" s="37" t="b">
        <v>1</v>
      </c>
      <c r="X32" s="112" t="b">
        <v>1</v>
      </c>
      <c r="Y32" s="127" t="b">
        <v>0</v>
      </c>
      <c r="Z32" s="38" t="b">
        <v>1</v>
      </c>
      <c r="AA32" s="38" t="b">
        <v>1</v>
      </c>
      <c r="AB32" s="38" t="b">
        <v>1</v>
      </c>
      <c r="AC32" s="38" t="b">
        <v>0</v>
      </c>
      <c r="AD32" s="38" t="b">
        <v>1</v>
      </c>
      <c r="AE32" s="128" t="b">
        <v>0</v>
      </c>
      <c r="AF32" s="119" t="b">
        <v>0</v>
      </c>
      <c r="AG32" s="39" t="b">
        <v>1</v>
      </c>
      <c r="AH32" s="40" t="b">
        <v>0</v>
      </c>
      <c r="AI32" s="74" t="str">
        <f t="shared" si="8"/>
        <v>26  /  31</v>
      </c>
      <c r="AJ32" s="47">
        <f t="shared" si="9"/>
        <v>0.83870967741935487</v>
      </c>
      <c r="AK32" s="196" t="str">
        <f t="shared" si="10"/>
        <v>|||||||||||||||||||||||||||||||||||||||||||||||||||||||||||||||||||||||||||||||||||</v>
      </c>
      <c r="AL32" s="197"/>
      <c r="AM32" s="19"/>
      <c r="AN32" s="19">
        <f t="shared" si="11"/>
        <v>26</v>
      </c>
      <c r="AO32" s="19">
        <f t="shared" si="7"/>
        <v>31</v>
      </c>
      <c r="AP32" s="20">
        <f>IFERROR(_xlfn.RANK.EQ(AN32,$AI$29:$AN$56,0)+COUNTIF($AN$29:AN32,AN32)-1,"")</f>
        <v>15</v>
      </c>
      <c r="AQ32" s="22" t="s">
        <v>17</v>
      </c>
      <c r="AR32" s="24">
        <v>1</v>
      </c>
    </row>
    <row r="33" spans="2:42" ht="19.8" x14ac:dyDescent="0.3">
      <c r="B33" s="203" t="s">
        <v>39</v>
      </c>
      <c r="C33" s="204"/>
      <c r="D33" s="86" t="b">
        <v>0</v>
      </c>
      <c r="E33" s="35" t="b">
        <v>1</v>
      </c>
      <c r="F33" s="83" t="b">
        <v>1</v>
      </c>
      <c r="G33" s="35" t="b">
        <v>1</v>
      </c>
      <c r="H33" s="83" t="b">
        <v>1</v>
      </c>
      <c r="I33" s="83" t="b">
        <v>1</v>
      </c>
      <c r="J33" s="90" t="b">
        <v>1</v>
      </c>
      <c r="K33" s="100" t="b">
        <v>1</v>
      </c>
      <c r="L33" s="84" t="b">
        <v>1</v>
      </c>
      <c r="M33" s="84" t="b">
        <v>1</v>
      </c>
      <c r="N33" s="84" t="b">
        <v>1</v>
      </c>
      <c r="O33" s="84" t="b">
        <v>1</v>
      </c>
      <c r="P33" s="84" t="b">
        <v>1</v>
      </c>
      <c r="Q33" s="101" t="b">
        <v>1</v>
      </c>
      <c r="R33" s="111" t="b">
        <v>1</v>
      </c>
      <c r="S33" s="85" t="b">
        <v>1</v>
      </c>
      <c r="T33" s="85" t="b">
        <v>1</v>
      </c>
      <c r="U33" s="85" t="b">
        <v>1</v>
      </c>
      <c r="V33" s="85" t="b">
        <v>1</v>
      </c>
      <c r="W33" s="37" t="b">
        <v>1</v>
      </c>
      <c r="X33" s="112" t="b">
        <v>1</v>
      </c>
      <c r="Y33" s="127" t="b">
        <v>1</v>
      </c>
      <c r="Z33" s="38" t="b">
        <v>1</v>
      </c>
      <c r="AA33" s="38" t="b">
        <v>1</v>
      </c>
      <c r="AB33" s="38" t="b">
        <v>1</v>
      </c>
      <c r="AC33" s="38" t="b">
        <v>0</v>
      </c>
      <c r="AD33" s="38" t="b">
        <v>0</v>
      </c>
      <c r="AE33" s="128" t="b">
        <v>0</v>
      </c>
      <c r="AF33" s="119" t="b">
        <v>1</v>
      </c>
      <c r="AG33" s="39" t="b">
        <v>1</v>
      </c>
      <c r="AH33" s="40" t="b">
        <v>0</v>
      </c>
      <c r="AI33" s="74" t="str">
        <f t="shared" si="8"/>
        <v>26  /  31</v>
      </c>
      <c r="AJ33" s="47">
        <f t="shared" si="9"/>
        <v>0.83870967741935487</v>
      </c>
      <c r="AK33" s="196" t="str">
        <f t="shared" si="10"/>
        <v>|||||||||||||||||||||||||||||||||||||||||||||||||||||||||||||||||||||||||||||||||||</v>
      </c>
      <c r="AL33" s="197"/>
      <c r="AM33" s="19"/>
      <c r="AN33" s="19">
        <f t="shared" si="11"/>
        <v>26</v>
      </c>
      <c r="AO33" s="19">
        <f t="shared" si="7"/>
        <v>31</v>
      </c>
      <c r="AP33" s="20">
        <f>IFERROR(_xlfn.RANK.EQ(AN33,$AI$29:$AN$56,0)+COUNTIF($AN$29:AN33,AN33)-1,"")</f>
        <v>16</v>
      </c>
    </row>
    <row r="34" spans="2:42" ht="19.8" x14ac:dyDescent="0.3">
      <c r="B34" s="203" t="s">
        <v>40</v>
      </c>
      <c r="C34" s="204"/>
      <c r="D34" s="86" t="b">
        <v>1</v>
      </c>
      <c r="E34" s="35" t="b">
        <v>1</v>
      </c>
      <c r="F34" s="83" t="b">
        <v>1</v>
      </c>
      <c r="G34" s="35" t="b">
        <v>1</v>
      </c>
      <c r="H34" s="83" t="b">
        <v>1</v>
      </c>
      <c r="I34" s="83" t="b">
        <v>1</v>
      </c>
      <c r="J34" s="90" t="b">
        <v>1</v>
      </c>
      <c r="K34" s="100" t="b">
        <v>1</v>
      </c>
      <c r="L34" s="84" t="b">
        <v>1</v>
      </c>
      <c r="M34" s="84" t="b">
        <v>1</v>
      </c>
      <c r="N34" s="84" t="b">
        <v>1</v>
      </c>
      <c r="O34" s="84" t="b">
        <v>1</v>
      </c>
      <c r="P34" s="84" t="b">
        <v>1</v>
      </c>
      <c r="Q34" s="101" t="b">
        <v>1</v>
      </c>
      <c r="R34" s="111" t="b">
        <v>1</v>
      </c>
      <c r="S34" s="85" t="b">
        <v>1</v>
      </c>
      <c r="T34" s="85" t="b">
        <v>1</v>
      </c>
      <c r="U34" s="85" t="b">
        <v>1</v>
      </c>
      <c r="V34" s="85" t="b">
        <v>1</v>
      </c>
      <c r="W34" s="37" t="b">
        <v>1</v>
      </c>
      <c r="X34" s="112" t="b">
        <v>1</v>
      </c>
      <c r="Y34" s="127" t="b">
        <v>1</v>
      </c>
      <c r="Z34" s="38" t="b">
        <v>1</v>
      </c>
      <c r="AA34" s="38" t="b">
        <v>1</v>
      </c>
      <c r="AB34" s="38" t="b">
        <v>1</v>
      </c>
      <c r="AC34" s="38" t="b">
        <v>0</v>
      </c>
      <c r="AD34" s="38" t="b">
        <v>1</v>
      </c>
      <c r="AE34" s="128" t="b">
        <v>0</v>
      </c>
      <c r="AF34" s="119" t="b">
        <v>0</v>
      </c>
      <c r="AG34" s="39" t="b">
        <v>1</v>
      </c>
      <c r="AH34" s="40" t="b">
        <v>0</v>
      </c>
      <c r="AI34" s="74" t="str">
        <f t="shared" si="8"/>
        <v>27  /  31</v>
      </c>
      <c r="AJ34" s="47">
        <f t="shared" si="9"/>
        <v>0.87096774193548387</v>
      </c>
      <c r="AK34" s="196" t="str">
        <f t="shared" si="10"/>
        <v>|||||||||||||||||||||||||||||||||||||||||||||||||||||||||||||||||||||||||||||||||||||||</v>
      </c>
      <c r="AL34" s="197"/>
      <c r="AM34" s="19"/>
      <c r="AN34" s="19">
        <f t="shared" si="11"/>
        <v>27</v>
      </c>
      <c r="AO34" s="19">
        <f t="shared" si="7"/>
        <v>31</v>
      </c>
      <c r="AP34" s="20">
        <f>IFERROR(_xlfn.RANK.EQ(AN34,$AI$29:$AN$56,0)+COUNTIF($AN$29:AN34,AN34)-1,"")</f>
        <v>9</v>
      </c>
    </row>
    <row r="35" spans="2:42" ht="19.8" x14ac:dyDescent="0.3">
      <c r="B35" s="203" t="s">
        <v>41</v>
      </c>
      <c r="C35" s="204"/>
      <c r="D35" s="86" t="b">
        <v>0</v>
      </c>
      <c r="E35" s="35" t="b">
        <v>1</v>
      </c>
      <c r="F35" s="83" t="b">
        <v>1</v>
      </c>
      <c r="G35" s="35" t="b">
        <v>1</v>
      </c>
      <c r="H35" s="83" t="b">
        <v>1</v>
      </c>
      <c r="I35" s="83" t="b">
        <v>1</v>
      </c>
      <c r="J35" s="90" t="b">
        <v>1</v>
      </c>
      <c r="K35" s="100" t="b">
        <v>1</v>
      </c>
      <c r="L35" s="84" t="b">
        <v>1</v>
      </c>
      <c r="M35" s="84" t="b">
        <v>1</v>
      </c>
      <c r="N35" s="84" t="b">
        <v>1</v>
      </c>
      <c r="O35" s="84" t="b">
        <v>1</v>
      </c>
      <c r="P35" s="84" t="b">
        <v>1</v>
      </c>
      <c r="Q35" s="101" t="b">
        <v>1</v>
      </c>
      <c r="R35" s="111" t="b">
        <v>1</v>
      </c>
      <c r="S35" s="85" t="b">
        <v>1</v>
      </c>
      <c r="T35" s="85" t="b">
        <v>1</v>
      </c>
      <c r="U35" s="85" t="b">
        <v>1</v>
      </c>
      <c r="V35" s="85" t="b">
        <v>1</v>
      </c>
      <c r="W35" s="37" t="b">
        <v>1</v>
      </c>
      <c r="X35" s="112" t="b">
        <v>1</v>
      </c>
      <c r="Y35" s="127" t="b">
        <v>1</v>
      </c>
      <c r="Z35" s="38" t="b">
        <v>1</v>
      </c>
      <c r="AA35" s="38" t="b">
        <v>1</v>
      </c>
      <c r="AB35" s="38" t="b">
        <v>1</v>
      </c>
      <c r="AC35" s="38" t="b">
        <v>0</v>
      </c>
      <c r="AD35" s="38" t="b">
        <v>0</v>
      </c>
      <c r="AE35" s="128" t="b">
        <v>0</v>
      </c>
      <c r="AF35" s="119" t="b">
        <v>0</v>
      </c>
      <c r="AG35" s="39" t="b">
        <v>1</v>
      </c>
      <c r="AH35" s="40" t="b">
        <v>0</v>
      </c>
      <c r="AI35" s="74" t="str">
        <f t="shared" si="8"/>
        <v>25  /  31</v>
      </c>
      <c r="AJ35" s="47">
        <f t="shared" si="9"/>
        <v>0.80645161290322576</v>
      </c>
      <c r="AK35" s="196" t="str">
        <f t="shared" si="10"/>
        <v>||||||||||||||||||||||||||||||||||||||||||||||||||||||||||||||||||||||||||||||||</v>
      </c>
      <c r="AL35" s="197"/>
      <c r="AM35" s="19"/>
      <c r="AN35" s="19">
        <f t="shared" si="11"/>
        <v>25</v>
      </c>
      <c r="AO35" s="19">
        <f t="shared" si="7"/>
        <v>31</v>
      </c>
      <c r="AP35" s="20">
        <f>IFERROR(_xlfn.RANK.EQ(AN35,$AI$29:$AN$56,0)+COUNTIF($AN$29:AN35,AN35)-1,"")</f>
        <v>19</v>
      </c>
    </row>
    <row r="36" spans="2:42" ht="19.8" x14ac:dyDescent="0.3">
      <c r="B36" s="203" t="s">
        <v>42</v>
      </c>
      <c r="C36" s="204"/>
      <c r="D36" s="86" t="b">
        <v>1</v>
      </c>
      <c r="E36" s="35" t="b">
        <v>1</v>
      </c>
      <c r="F36" s="83" t="b">
        <v>1</v>
      </c>
      <c r="G36" s="35" t="b">
        <v>1</v>
      </c>
      <c r="H36" s="83" t="b">
        <v>1</v>
      </c>
      <c r="I36" s="83" t="b">
        <v>1</v>
      </c>
      <c r="J36" s="90" t="b">
        <v>1</v>
      </c>
      <c r="K36" s="100" t="b">
        <v>1</v>
      </c>
      <c r="L36" s="84" t="b">
        <v>1</v>
      </c>
      <c r="M36" s="84" t="b">
        <v>1</v>
      </c>
      <c r="N36" s="84" t="b">
        <v>1</v>
      </c>
      <c r="O36" s="84" t="b">
        <v>1</v>
      </c>
      <c r="P36" s="84" t="b">
        <v>1</v>
      </c>
      <c r="Q36" s="101" t="b">
        <v>1</v>
      </c>
      <c r="R36" s="111" t="b">
        <v>1</v>
      </c>
      <c r="S36" s="85" t="b">
        <v>1</v>
      </c>
      <c r="T36" s="85" t="b">
        <v>1</v>
      </c>
      <c r="U36" s="85" t="b">
        <v>1</v>
      </c>
      <c r="V36" s="85" t="b">
        <v>1</v>
      </c>
      <c r="W36" s="37" t="b">
        <v>1</v>
      </c>
      <c r="X36" s="112" t="b">
        <v>1</v>
      </c>
      <c r="Y36" s="127" t="b">
        <v>1</v>
      </c>
      <c r="Z36" s="38" t="b">
        <v>1</v>
      </c>
      <c r="AA36" s="38" t="b">
        <v>1</v>
      </c>
      <c r="AB36" s="38" t="b">
        <v>1</v>
      </c>
      <c r="AC36" s="38" t="b">
        <v>0</v>
      </c>
      <c r="AD36" s="38" t="b">
        <v>0</v>
      </c>
      <c r="AE36" s="128" t="b">
        <v>0</v>
      </c>
      <c r="AF36" s="119" t="b">
        <v>0</v>
      </c>
      <c r="AG36" s="39" t="b">
        <v>1</v>
      </c>
      <c r="AH36" s="40" t="b">
        <v>0</v>
      </c>
      <c r="AI36" s="74" t="str">
        <f t="shared" ref="AI36:AI52" si="12">IFERROR(IF(B36="","",AN36&amp;"  /  "&amp;AO36),"")</f>
        <v>26  /  31</v>
      </c>
      <c r="AJ36" s="47">
        <f t="shared" si="9"/>
        <v>0.83870967741935487</v>
      </c>
      <c r="AK36" s="196" t="str">
        <f t="shared" si="10"/>
        <v>|||||||||||||||||||||||||||||||||||||||||||||||||||||||||||||||||||||||||||||||||||</v>
      </c>
      <c r="AL36" s="197"/>
      <c r="AM36" s="19"/>
      <c r="AN36" s="19">
        <f t="shared" ref="AN36:AN52" si="13">IF(B36="","",COUNTIFS(D36:AH36,TRUE,$D$27:$AH$27,"&gt;0"))</f>
        <v>26</v>
      </c>
      <c r="AO36" s="19">
        <f t="shared" ref="AO36:AO52" si="14">IF(B36="","",COUNTIFS($D$27:$AH$27,"&gt;0"))</f>
        <v>31</v>
      </c>
      <c r="AP36" s="20">
        <f>IFERROR(_xlfn.RANK.EQ(AN36,$AI$29:$AN$56,0)+COUNTIF($AN$29:AN36,AN36)-1,"")</f>
        <v>17</v>
      </c>
    </row>
    <row r="37" spans="2:42" ht="19.8" x14ac:dyDescent="0.3">
      <c r="B37" s="203" t="s">
        <v>43</v>
      </c>
      <c r="C37" s="204"/>
      <c r="D37" s="86" t="b">
        <v>1</v>
      </c>
      <c r="E37" s="35" t="b">
        <v>0</v>
      </c>
      <c r="F37" s="83" t="b">
        <v>1</v>
      </c>
      <c r="G37" s="35" t="b">
        <v>1</v>
      </c>
      <c r="H37" s="83" t="b">
        <v>1</v>
      </c>
      <c r="I37" s="83" t="b">
        <v>1</v>
      </c>
      <c r="J37" s="90" t="b">
        <v>1</v>
      </c>
      <c r="K37" s="100" t="b">
        <v>1</v>
      </c>
      <c r="L37" s="84" t="b">
        <v>1</v>
      </c>
      <c r="M37" s="84" t="b">
        <v>1</v>
      </c>
      <c r="N37" s="84" t="b">
        <v>1</v>
      </c>
      <c r="O37" s="84" t="b">
        <v>1</v>
      </c>
      <c r="P37" s="84" t="b">
        <v>1</v>
      </c>
      <c r="Q37" s="101" t="b">
        <v>1</v>
      </c>
      <c r="R37" s="111" t="b">
        <v>1</v>
      </c>
      <c r="S37" s="85" t="b">
        <v>1</v>
      </c>
      <c r="T37" s="85" t="b">
        <v>1</v>
      </c>
      <c r="U37" s="85" t="b">
        <v>1</v>
      </c>
      <c r="V37" s="85" t="b">
        <v>1</v>
      </c>
      <c r="W37" s="37" t="b">
        <v>1</v>
      </c>
      <c r="X37" s="112" t="b">
        <v>1</v>
      </c>
      <c r="Y37" s="127" t="b">
        <v>1</v>
      </c>
      <c r="Z37" s="38" t="b">
        <v>1</v>
      </c>
      <c r="AA37" s="38" t="b">
        <v>1</v>
      </c>
      <c r="AB37" s="38" t="b">
        <v>1</v>
      </c>
      <c r="AC37" s="38" t="b">
        <v>1</v>
      </c>
      <c r="AD37" s="38" t="b">
        <v>0</v>
      </c>
      <c r="AE37" s="128" t="b">
        <v>1</v>
      </c>
      <c r="AF37" s="119" t="b">
        <v>0</v>
      </c>
      <c r="AG37" s="39" t="b">
        <v>1</v>
      </c>
      <c r="AH37" s="40" t="b">
        <v>0</v>
      </c>
      <c r="AI37" s="74" t="str">
        <f t="shared" si="12"/>
        <v>27  /  31</v>
      </c>
      <c r="AJ37" s="47">
        <f t="shared" si="9"/>
        <v>0.87096774193548387</v>
      </c>
      <c r="AK37" s="196" t="str">
        <f t="shared" si="10"/>
        <v>|||||||||||||||||||||||||||||||||||||||||||||||||||||||||||||||||||||||||||||||||||||||</v>
      </c>
      <c r="AL37" s="197"/>
      <c r="AM37" s="19"/>
      <c r="AN37" s="19">
        <f t="shared" si="13"/>
        <v>27</v>
      </c>
      <c r="AO37" s="19">
        <f t="shared" si="14"/>
        <v>31</v>
      </c>
      <c r="AP37" s="20">
        <f>IFERROR(_xlfn.RANK.EQ(AN37,$AI$29:$AN$56,0)+COUNTIF($AN$29:AN37,AN37)-1,"")</f>
        <v>10</v>
      </c>
    </row>
    <row r="38" spans="2:42" ht="19.8" x14ac:dyDescent="0.3">
      <c r="B38" s="203" t="s">
        <v>44</v>
      </c>
      <c r="C38" s="204"/>
      <c r="D38" s="86" t="b">
        <v>1</v>
      </c>
      <c r="E38" s="35" t="b">
        <v>1</v>
      </c>
      <c r="F38" s="83" t="b">
        <v>1</v>
      </c>
      <c r="G38" s="35" t="b">
        <v>0</v>
      </c>
      <c r="H38" s="83" t="b">
        <v>0</v>
      </c>
      <c r="I38" s="83" t="b">
        <v>0</v>
      </c>
      <c r="J38" s="90" t="b">
        <v>1</v>
      </c>
      <c r="K38" s="100" t="b">
        <v>1</v>
      </c>
      <c r="L38" s="84" t="b">
        <v>1</v>
      </c>
      <c r="M38" s="84" t="b">
        <v>1</v>
      </c>
      <c r="N38" s="84" t="b">
        <v>1</v>
      </c>
      <c r="O38" s="84" t="b">
        <v>1</v>
      </c>
      <c r="P38" s="84" t="b">
        <v>1</v>
      </c>
      <c r="Q38" s="101" t="b">
        <v>1</v>
      </c>
      <c r="R38" s="111" t="b">
        <v>1</v>
      </c>
      <c r="S38" s="85" t="b">
        <v>1</v>
      </c>
      <c r="T38" s="85" t="b">
        <v>1</v>
      </c>
      <c r="U38" s="85" t="b">
        <v>1</v>
      </c>
      <c r="V38" s="85" t="b">
        <v>1</v>
      </c>
      <c r="W38" s="37" t="b">
        <v>1</v>
      </c>
      <c r="X38" s="112" t="b">
        <v>1</v>
      </c>
      <c r="Y38" s="127" t="b">
        <v>1</v>
      </c>
      <c r="Z38" s="38" t="b">
        <v>1</v>
      </c>
      <c r="AA38" s="38" t="b">
        <v>1</v>
      </c>
      <c r="AB38" s="38" t="b">
        <v>1</v>
      </c>
      <c r="AC38" s="38" t="b">
        <v>1</v>
      </c>
      <c r="AD38" s="38" t="b">
        <v>0</v>
      </c>
      <c r="AE38" s="128" t="b">
        <v>1</v>
      </c>
      <c r="AF38" s="119" t="b">
        <v>0</v>
      </c>
      <c r="AG38" s="39" t="b">
        <v>1</v>
      </c>
      <c r="AH38" s="40" t="b">
        <v>0</v>
      </c>
      <c r="AI38" s="74" t="str">
        <f t="shared" si="12"/>
        <v>25  /  31</v>
      </c>
      <c r="AJ38" s="47">
        <f t="shared" si="9"/>
        <v>0.80645161290322576</v>
      </c>
      <c r="AK38" s="196" t="str">
        <f t="shared" si="10"/>
        <v>||||||||||||||||||||||||||||||||||||||||||||||||||||||||||||||||||||||||||||||||</v>
      </c>
      <c r="AL38" s="197"/>
      <c r="AM38" s="19"/>
      <c r="AN38" s="19">
        <f t="shared" si="13"/>
        <v>25</v>
      </c>
      <c r="AO38" s="19">
        <f t="shared" si="14"/>
        <v>31</v>
      </c>
      <c r="AP38" s="20">
        <f>IFERROR(_xlfn.RANK.EQ(AN38,$AI$29:$AN$56,0)+COUNTIF($AN$29:AN38,AN38)-1,"")</f>
        <v>20</v>
      </c>
    </row>
    <row r="39" spans="2:42" ht="19.8" x14ac:dyDescent="0.3">
      <c r="B39" s="203" t="s">
        <v>45</v>
      </c>
      <c r="C39" s="204"/>
      <c r="D39" s="86" t="b">
        <v>1</v>
      </c>
      <c r="E39" s="35" t="b">
        <v>1</v>
      </c>
      <c r="F39" s="83" t="b">
        <v>1</v>
      </c>
      <c r="G39" s="35" t="b">
        <v>1</v>
      </c>
      <c r="H39" s="83" t="b">
        <v>1</v>
      </c>
      <c r="I39" s="83" t="b">
        <v>1</v>
      </c>
      <c r="J39" s="90" t="b">
        <v>1</v>
      </c>
      <c r="K39" s="100" t="b">
        <v>1</v>
      </c>
      <c r="L39" s="84" t="b">
        <v>1</v>
      </c>
      <c r="M39" s="84" t="b">
        <v>1</v>
      </c>
      <c r="N39" s="84" t="b">
        <v>1</v>
      </c>
      <c r="O39" s="84" t="b">
        <v>0</v>
      </c>
      <c r="P39" s="84" t="b">
        <v>1</v>
      </c>
      <c r="Q39" s="101" t="b">
        <v>1</v>
      </c>
      <c r="R39" s="111" t="b">
        <v>1</v>
      </c>
      <c r="S39" s="85" t="b">
        <v>1</v>
      </c>
      <c r="T39" s="85" t="b">
        <v>1</v>
      </c>
      <c r="U39" s="85" t="b">
        <v>1</v>
      </c>
      <c r="V39" s="85" t="b">
        <v>1</v>
      </c>
      <c r="W39" s="37" t="b">
        <v>1</v>
      </c>
      <c r="X39" s="112" t="b">
        <v>1</v>
      </c>
      <c r="Y39" s="127" t="b">
        <v>1</v>
      </c>
      <c r="Z39" s="38" t="b">
        <v>1</v>
      </c>
      <c r="AA39" s="38" t="b">
        <v>1</v>
      </c>
      <c r="AB39" s="38" t="b">
        <v>1</v>
      </c>
      <c r="AC39" s="38" t="b">
        <v>1</v>
      </c>
      <c r="AD39" s="38" t="b">
        <v>0</v>
      </c>
      <c r="AE39" s="128" t="b">
        <v>1</v>
      </c>
      <c r="AF39" s="119" t="b">
        <v>0</v>
      </c>
      <c r="AG39" s="39" t="b">
        <v>1</v>
      </c>
      <c r="AH39" s="40" t="b">
        <v>0</v>
      </c>
      <c r="AI39" s="74" t="str">
        <f t="shared" si="12"/>
        <v>27  /  31</v>
      </c>
      <c r="AJ39" s="47">
        <f t="shared" si="9"/>
        <v>0.87096774193548387</v>
      </c>
      <c r="AK39" s="198" t="str">
        <f t="shared" si="10"/>
        <v>|||||||||||||||||||||||||||||||||||||||||||||||||||||||||||||||||||||||||||||||||||||||</v>
      </c>
      <c r="AL39" s="199"/>
      <c r="AM39" s="19"/>
      <c r="AN39" s="19">
        <f t="shared" si="13"/>
        <v>27</v>
      </c>
      <c r="AO39" s="19">
        <f t="shared" si="14"/>
        <v>31</v>
      </c>
      <c r="AP39" s="20">
        <f>IFERROR(_xlfn.RANK.EQ(AN39,$AI$29:$AN$56,0)+COUNTIF($AN$29:AN39,AN39)-1,"")</f>
        <v>11</v>
      </c>
    </row>
    <row r="40" spans="2:42" ht="19.8" x14ac:dyDescent="0.3">
      <c r="B40" s="203" t="s">
        <v>46</v>
      </c>
      <c r="C40" s="204"/>
      <c r="D40" s="86" t="b">
        <v>1</v>
      </c>
      <c r="E40" s="35" t="b">
        <v>1</v>
      </c>
      <c r="F40" s="83" t="b">
        <v>1</v>
      </c>
      <c r="G40" s="35" t="b">
        <v>1</v>
      </c>
      <c r="H40" s="83" t="b">
        <v>1</v>
      </c>
      <c r="I40" s="83" t="b">
        <v>1</v>
      </c>
      <c r="J40" s="90" t="b">
        <v>1</v>
      </c>
      <c r="K40" s="100" t="b">
        <v>1</v>
      </c>
      <c r="L40" s="84" t="b">
        <v>1</v>
      </c>
      <c r="M40" s="84" t="b">
        <v>1</v>
      </c>
      <c r="N40" s="84" t="b">
        <v>1</v>
      </c>
      <c r="O40" s="84" t="b">
        <v>1</v>
      </c>
      <c r="P40" s="84" t="b">
        <v>1</v>
      </c>
      <c r="Q40" s="101" t="b">
        <v>1</v>
      </c>
      <c r="R40" s="111" t="b">
        <v>1</v>
      </c>
      <c r="S40" s="85" t="b">
        <v>1</v>
      </c>
      <c r="T40" s="85" t="b">
        <v>1</v>
      </c>
      <c r="U40" s="85" t="b">
        <v>1</v>
      </c>
      <c r="V40" s="85" t="b">
        <v>1</v>
      </c>
      <c r="W40" s="37" t="b">
        <v>1</v>
      </c>
      <c r="X40" s="112" t="b">
        <v>1</v>
      </c>
      <c r="Y40" s="127" t="b">
        <v>1</v>
      </c>
      <c r="Z40" s="38" t="b">
        <v>1</v>
      </c>
      <c r="AA40" s="38" t="b">
        <v>1</v>
      </c>
      <c r="AB40" s="38" t="b">
        <v>1</v>
      </c>
      <c r="AC40" s="38" t="b">
        <v>1</v>
      </c>
      <c r="AD40" s="38" t="b">
        <v>1</v>
      </c>
      <c r="AE40" s="128" t="b">
        <v>1</v>
      </c>
      <c r="AF40" s="119" t="b">
        <v>0</v>
      </c>
      <c r="AG40" s="39" t="b">
        <v>1</v>
      </c>
      <c r="AH40" s="40" t="b">
        <v>1</v>
      </c>
      <c r="AI40" s="74" t="str">
        <f t="shared" si="12"/>
        <v>30  /  31</v>
      </c>
      <c r="AJ40" s="47">
        <f t="shared" ref="AJ40:AJ57" si="15">IFERROR(AN40/AO40,"")</f>
        <v>0.967741935483871</v>
      </c>
      <c r="AK40" s="196" t="str">
        <f t="shared" ref="AK40:AK57" si="16">IFERROR(REPT("|",AN40/AO40*100),"")</f>
        <v>||||||||||||||||||||||||||||||||||||||||||||||||||||||||||||||||||||||||||||||||||||||||||||||||</v>
      </c>
      <c r="AL40" s="197"/>
      <c r="AM40" s="19"/>
      <c r="AN40" s="19">
        <f t="shared" si="13"/>
        <v>30</v>
      </c>
      <c r="AO40" s="19">
        <f t="shared" si="14"/>
        <v>31</v>
      </c>
      <c r="AP40" s="20">
        <f>IFERROR(_xlfn.RANK.EQ(AN40,$AI$29:$AN$56,0)+COUNTIF($AN$29:AN40,AN40)-1,"")</f>
        <v>2</v>
      </c>
    </row>
    <row r="41" spans="2:42" ht="19.8" x14ac:dyDescent="0.3">
      <c r="B41" s="203" t="s">
        <v>47</v>
      </c>
      <c r="C41" s="204"/>
      <c r="D41" s="86" t="b">
        <v>1</v>
      </c>
      <c r="E41" s="35" t="b">
        <v>1</v>
      </c>
      <c r="F41" s="83" t="b">
        <v>1</v>
      </c>
      <c r="G41" s="35" t="b">
        <v>1</v>
      </c>
      <c r="H41" s="83" t="b">
        <v>1</v>
      </c>
      <c r="I41" s="83" t="b">
        <v>1</v>
      </c>
      <c r="J41" s="90" t="b">
        <v>1</v>
      </c>
      <c r="K41" s="100" t="b">
        <v>1</v>
      </c>
      <c r="L41" s="84" t="b">
        <v>1</v>
      </c>
      <c r="M41" s="84" t="b">
        <v>1</v>
      </c>
      <c r="N41" s="84" t="b">
        <v>1</v>
      </c>
      <c r="O41" s="84" t="b">
        <v>1</v>
      </c>
      <c r="P41" s="84" t="b">
        <v>1</v>
      </c>
      <c r="Q41" s="101" t="b">
        <v>1</v>
      </c>
      <c r="R41" s="111" t="b">
        <v>1</v>
      </c>
      <c r="S41" s="85" t="b">
        <v>1</v>
      </c>
      <c r="T41" s="85" t="b">
        <v>1</v>
      </c>
      <c r="U41" s="85" t="b">
        <v>1</v>
      </c>
      <c r="V41" s="85" t="b">
        <v>1</v>
      </c>
      <c r="W41" s="37" t="b">
        <v>1</v>
      </c>
      <c r="X41" s="112" t="b">
        <v>1</v>
      </c>
      <c r="Y41" s="127" t="b">
        <v>1</v>
      </c>
      <c r="Z41" s="38" t="b">
        <v>1</v>
      </c>
      <c r="AA41" s="38" t="b">
        <v>1</v>
      </c>
      <c r="AB41" s="38" t="b">
        <v>1</v>
      </c>
      <c r="AC41" s="38" t="b">
        <v>1</v>
      </c>
      <c r="AD41" s="38" t="b">
        <v>1</v>
      </c>
      <c r="AE41" s="128" t="b">
        <v>1</v>
      </c>
      <c r="AF41" s="119" t="b">
        <v>0</v>
      </c>
      <c r="AG41" s="39" t="b">
        <v>1</v>
      </c>
      <c r="AH41" s="40" t="b">
        <v>1</v>
      </c>
      <c r="AI41" s="74" t="str">
        <f t="shared" si="12"/>
        <v>30  /  31</v>
      </c>
      <c r="AJ41" s="47">
        <f t="shared" si="15"/>
        <v>0.967741935483871</v>
      </c>
      <c r="AK41" s="196" t="str">
        <f t="shared" si="16"/>
        <v>||||||||||||||||||||||||||||||||||||||||||||||||||||||||||||||||||||||||||||||||||||||||||||||||</v>
      </c>
      <c r="AL41" s="197"/>
      <c r="AM41" s="19"/>
      <c r="AN41" s="19">
        <f t="shared" si="13"/>
        <v>30</v>
      </c>
      <c r="AO41" s="19">
        <f t="shared" si="14"/>
        <v>31</v>
      </c>
      <c r="AP41" s="20">
        <f>IFERROR(_xlfn.RANK.EQ(AN41,$AI$29:$AN$56,0)+COUNTIF($AN$29:AN41,AN41)-1,"")</f>
        <v>3</v>
      </c>
    </row>
    <row r="42" spans="2:42" ht="19.8" x14ac:dyDescent="0.3">
      <c r="B42" s="203" t="s">
        <v>48</v>
      </c>
      <c r="C42" s="204"/>
      <c r="D42" s="86" t="b">
        <v>1</v>
      </c>
      <c r="E42" s="35" t="b">
        <v>1</v>
      </c>
      <c r="F42" s="83" t="b">
        <v>1</v>
      </c>
      <c r="G42" s="35" t="b">
        <v>1</v>
      </c>
      <c r="H42" s="83" t="b">
        <v>1</v>
      </c>
      <c r="I42" s="83" t="b">
        <v>0</v>
      </c>
      <c r="J42" s="90" t="b">
        <v>0</v>
      </c>
      <c r="K42" s="100" t="b">
        <v>1</v>
      </c>
      <c r="L42" s="84" t="b">
        <v>1</v>
      </c>
      <c r="M42" s="84" t="b">
        <v>1</v>
      </c>
      <c r="N42" s="84" t="b">
        <v>1</v>
      </c>
      <c r="O42" s="84" t="b">
        <v>1</v>
      </c>
      <c r="P42" s="84" t="b">
        <v>1</v>
      </c>
      <c r="Q42" s="101" t="b">
        <v>1</v>
      </c>
      <c r="R42" s="111" t="b">
        <v>1</v>
      </c>
      <c r="S42" s="85" t="b">
        <v>1</v>
      </c>
      <c r="T42" s="85" t="b">
        <v>1</v>
      </c>
      <c r="U42" s="85" t="b">
        <v>1</v>
      </c>
      <c r="V42" s="85" t="b">
        <v>1</v>
      </c>
      <c r="W42" s="37" t="b">
        <v>1</v>
      </c>
      <c r="X42" s="112" t="b">
        <v>1</v>
      </c>
      <c r="Y42" s="127" t="b">
        <v>1</v>
      </c>
      <c r="Z42" s="38" t="b">
        <v>1</v>
      </c>
      <c r="AA42" s="38" t="b">
        <v>1</v>
      </c>
      <c r="AB42" s="38" t="b">
        <v>1</v>
      </c>
      <c r="AC42" s="38" t="b">
        <v>1</v>
      </c>
      <c r="AD42" s="38" t="b">
        <v>0</v>
      </c>
      <c r="AE42" s="128" t="b">
        <v>1</v>
      </c>
      <c r="AF42" s="119" t="b">
        <v>0</v>
      </c>
      <c r="AG42" s="39" t="b">
        <v>1</v>
      </c>
      <c r="AH42" s="40" t="b">
        <v>1</v>
      </c>
      <c r="AI42" s="74" t="str">
        <f t="shared" si="12"/>
        <v>27  /  31</v>
      </c>
      <c r="AJ42" s="47">
        <f t="shared" si="15"/>
        <v>0.87096774193548387</v>
      </c>
      <c r="AK42" s="196" t="str">
        <f t="shared" si="16"/>
        <v>|||||||||||||||||||||||||||||||||||||||||||||||||||||||||||||||||||||||||||||||||||||||</v>
      </c>
      <c r="AL42" s="197"/>
      <c r="AM42" s="19"/>
      <c r="AN42" s="19">
        <f t="shared" si="13"/>
        <v>27</v>
      </c>
      <c r="AO42" s="19">
        <f t="shared" si="14"/>
        <v>31</v>
      </c>
      <c r="AP42" s="20">
        <f>IFERROR(_xlfn.RANK.EQ(AN42,$AI$29:$AN$56,0)+COUNTIF($AN$29:AN42,AN42)-1,"")</f>
        <v>12</v>
      </c>
    </row>
    <row r="43" spans="2:42" ht="19.8" x14ac:dyDescent="0.3">
      <c r="B43" s="203" t="s">
        <v>49</v>
      </c>
      <c r="C43" s="204"/>
      <c r="D43" s="86" t="b">
        <v>1</v>
      </c>
      <c r="E43" s="35" t="b">
        <v>1</v>
      </c>
      <c r="F43" s="83" t="b">
        <v>1</v>
      </c>
      <c r="G43" s="35" t="b">
        <v>1</v>
      </c>
      <c r="H43" s="83" t="b">
        <v>1</v>
      </c>
      <c r="I43" s="83" t="b">
        <v>1</v>
      </c>
      <c r="J43" s="90" t="b">
        <v>1</v>
      </c>
      <c r="K43" s="100" t="b">
        <v>1</v>
      </c>
      <c r="L43" s="84" t="b">
        <v>1</v>
      </c>
      <c r="M43" s="84" t="b">
        <v>1</v>
      </c>
      <c r="N43" s="84" t="b">
        <v>1</v>
      </c>
      <c r="O43" s="84" t="b">
        <v>1</v>
      </c>
      <c r="P43" s="84" t="b">
        <v>1</v>
      </c>
      <c r="Q43" s="101" t="b">
        <v>1</v>
      </c>
      <c r="R43" s="111" t="b">
        <v>1</v>
      </c>
      <c r="S43" s="85" t="b">
        <v>1</v>
      </c>
      <c r="T43" s="85" t="b">
        <v>1</v>
      </c>
      <c r="U43" s="85" t="b">
        <v>1</v>
      </c>
      <c r="V43" s="85" t="b">
        <v>1</v>
      </c>
      <c r="W43" s="37" t="b">
        <v>1</v>
      </c>
      <c r="X43" s="112" t="b">
        <v>1</v>
      </c>
      <c r="Y43" s="127" t="b">
        <v>1</v>
      </c>
      <c r="Z43" s="38" t="b">
        <v>1</v>
      </c>
      <c r="AA43" s="38" t="b">
        <v>1</v>
      </c>
      <c r="AB43" s="38" t="b">
        <v>1</v>
      </c>
      <c r="AC43" s="38" t="b">
        <v>1</v>
      </c>
      <c r="AD43" s="38" t="b">
        <v>0</v>
      </c>
      <c r="AE43" s="128" t="b">
        <v>1</v>
      </c>
      <c r="AF43" s="119" t="b">
        <v>0</v>
      </c>
      <c r="AG43" s="39" t="b">
        <v>1</v>
      </c>
      <c r="AH43" s="40" t="b">
        <v>1</v>
      </c>
      <c r="AI43" s="74" t="str">
        <f t="shared" si="12"/>
        <v>29  /  31</v>
      </c>
      <c r="AJ43" s="47">
        <f t="shared" si="15"/>
        <v>0.93548387096774188</v>
      </c>
      <c r="AK43" s="196" t="str">
        <f t="shared" si="16"/>
        <v>|||||||||||||||||||||||||||||||||||||||||||||||||||||||||||||||||||||||||||||||||||||||||||||</v>
      </c>
      <c r="AL43" s="197"/>
      <c r="AM43" s="19"/>
      <c r="AN43" s="19">
        <f t="shared" si="13"/>
        <v>29</v>
      </c>
      <c r="AO43" s="19">
        <f t="shared" si="14"/>
        <v>31</v>
      </c>
      <c r="AP43" s="20">
        <f>IFERROR(_xlfn.RANK.EQ(AN43,$AI$29:$AN$56,0)+COUNTIF($AN$29:AN43,AN43)-1,"")</f>
        <v>4</v>
      </c>
    </row>
    <row r="44" spans="2:42" ht="19.8" x14ac:dyDescent="0.3">
      <c r="B44" s="203" t="s">
        <v>50</v>
      </c>
      <c r="C44" s="204"/>
      <c r="D44" s="86" t="b">
        <v>1</v>
      </c>
      <c r="E44" s="35" t="b">
        <v>1</v>
      </c>
      <c r="F44" s="83" t="b">
        <v>1</v>
      </c>
      <c r="G44" s="35" t="b">
        <v>1</v>
      </c>
      <c r="H44" s="83" t="b">
        <v>1</v>
      </c>
      <c r="I44" s="83" t="b">
        <v>1</v>
      </c>
      <c r="J44" s="90" t="b">
        <v>1</v>
      </c>
      <c r="K44" s="100" t="b">
        <v>0</v>
      </c>
      <c r="L44" s="84" t="b">
        <v>1</v>
      </c>
      <c r="M44" s="84" t="b">
        <v>1</v>
      </c>
      <c r="N44" s="84" t="b">
        <v>1</v>
      </c>
      <c r="O44" s="84" t="b">
        <v>1</v>
      </c>
      <c r="P44" s="84" t="b">
        <v>1</v>
      </c>
      <c r="Q44" s="101" t="b">
        <v>1</v>
      </c>
      <c r="R44" s="111" t="b">
        <v>1</v>
      </c>
      <c r="S44" s="85" t="b">
        <v>1</v>
      </c>
      <c r="T44" s="85" t="b">
        <v>1</v>
      </c>
      <c r="U44" s="85" t="b">
        <v>1</v>
      </c>
      <c r="V44" s="85" t="b">
        <v>1</v>
      </c>
      <c r="W44" s="37" t="b">
        <v>1</v>
      </c>
      <c r="X44" s="112" t="b">
        <v>1</v>
      </c>
      <c r="Y44" s="127" t="b">
        <v>1</v>
      </c>
      <c r="Z44" s="38" t="b">
        <v>1</v>
      </c>
      <c r="AA44" s="38" t="b">
        <v>1</v>
      </c>
      <c r="AB44" s="38" t="b">
        <v>1</v>
      </c>
      <c r="AC44" s="38" t="b">
        <v>1</v>
      </c>
      <c r="AD44" s="38" t="b">
        <v>0</v>
      </c>
      <c r="AE44" s="128" t="b">
        <v>1</v>
      </c>
      <c r="AF44" s="119" t="b">
        <v>0</v>
      </c>
      <c r="AG44" s="39" t="b">
        <v>1</v>
      </c>
      <c r="AH44" s="40" t="b">
        <v>1</v>
      </c>
      <c r="AI44" s="74" t="str">
        <f t="shared" si="12"/>
        <v>28  /  31</v>
      </c>
      <c r="AJ44" s="47">
        <f t="shared" si="15"/>
        <v>0.90322580645161288</v>
      </c>
      <c r="AK44" s="196" t="str">
        <f t="shared" si="16"/>
        <v>||||||||||||||||||||||||||||||||||||||||||||||||||||||||||||||||||||||||||||||||||||||||||</v>
      </c>
      <c r="AL44" s="197"/>
      <c r="AM44" s="19"/>
      <c r="AN44" s="19">
        <f t="shared" si="13"/>
        <v>28</v>
      </c>
      <c r="AO44" s="19">
        <f t="shared" si="14"/>
        <v>31</v>
      </c>
      <c r="AP44" s="20">
        <f>IFERROR(_xlfn.RANK.EQ(AN44,$AI$29:$AN$56,0)+COUNTIF($AN$29:AN44,AN44)-1,"")</f>
        <v>6</v>
      </c>
    </row>
    <row r="45" spans="2:42" ht="19.8" x14ac:dyDescent="0.3">
      <c r="B45" s="203" t="s">
        <v>51</v>
      </c>
      <c r="C45" s="204"/>
      <c r="D45" s="86" t="b">
        <v>1</v>
      </c>
      <c r="E45" s="35" t="b">
        <v>1</v>
      </c>
      <c r="F45" s="83" t="b">
        <v>1</v>
      </c>
      <c r="G45" s="35" t="b">
        <v>1</v>
      </c>
      <c r="H45" s="83" t="b">
        <v>1</v>
      </c>
      <c r="I45" s="83" t="b">
        <v>1</v>
      </c>
      <c r="J45" s="90" t="b">
        <v>1</v>
      </c>
      <c r="K45" s="100" t="b">
        <v>1</v>
      </c>
      <c r="L45" s="84" t="b">
        <v>1</v>
      </c>
      <c r="M45" s="84" t="b">
        <v>1</v>
      </c>
      <c r="N45" s="84" t="b">
        <v>1</v>
      </c>
      <c r="O45" s="84" t="b">
        <v>0</v>
      </c>
      <c r="P45" s="84" t="b">
        <v>0</v>
      </c>
      <c r="Q45" s="101" t="b">
        <v>0</v>
      </c>
      <c r="R45" s="111" t="b">
        <v>1</v>
      </c>
      <c r="S45" s="85" t="b">
        <v>1</v>
      </c>
      <c r="T45" s="85" t="b">
        <v>1</v>
      </c>
      <c r="U45" s="85" t="b">
        <v>1</v>
      </c>
      <c r="V45" s="85" t="b">
        <v>1</v>
      </c>
      <c r="W45" s="37" t="b">
        <v>1</v>
      </c>
      <c r="X45" s="112" t="b">
        <v>1</v>
      </c>
      <c r="Y45" s="127" t="b">
        <v>1</v>
      </c>
      <c r="Z45" s="38" t="b">
        <v>1</v>
      </c>
      <c r="AA45" s="38" t="b">
        <v>1</v>
      </c>
      <c r="AB45" s="38" t="b">
        <v>1</v>
      </c>
      <c r="AC45" s="38" t="b">
        <v>1</v>
      </c>
      <c r="AD45" s="38" t="b">
        <v>0</v>
      </c>
      <c r="AE45" s="128" t="b">
        <v>1</v>
      </c>
      <c r="AF45" s="119" t="b">
        <v>0</v>
      </c>
      <c r="AG45" s="39" t="b">
        <v>1</v>
      </c>
      <c r="AH45" s="40" t="b">
        <v>1</v>
      </c>
      <c r="AI45" s="74" t="str">
        <f t="shared" si="12"/>
        <v>26  /  31</v>
      </c>
      <c r="AJ45" s="47">
        <f t="shared" si="15"/>
        <v>0.83870967741935487</v>
      </c>
      <c r="AK45" s="196" t="str">
        <f t="shared" si="16"/>
        <v>|||||||||||||||||||||||||||||||||||||||||||||||||||||||||||||||||||||||||||||||||||</v>
      </c>
      <c r="AL45" s="197"/>
      <c r="AM45" s="19"/>
      <c r="AN45" s="19">
        <f t="shared" si="13"/>
        <v>26</v>
      </c>
      <c r="AO45" s="19">
        <f t="shared" si="14"/>
        <v>31</v>
      </c>
      <c r="AP45" s="20">
        <f>IFERROR(_xlfn.RANK.EQ(AN45,$AI$29:$AN$56,0)+COUNTIF($AN$29:AN45,AN45)-1,"")</f>
        <v>18</v>
      </c>
    </row>
    <row r="46" spans="2:42" ht="19.8" x14ac:dyDescent="0.3">
      <c r="B46" s="203" t="s">
        <v>52</v>
      </c>
      <c r="C46" s="204"/>
      <c r="D46" s="86" t="b">
        <v>1</v>
      </c>
      <c r="E46" s="35" t="b">
        <v>1</v>
      </c>
      <c r="F46" s="83" t="b">
        <v>1</v>
      </c>
      <c r="G46" s="35" t="b">
        <v>1</v>
      </c>
      <c r="H46" s="83" t="b">
        <v>1</v>
      </c>
      <c r="I46" s="83" t="b">
        <v>1</v>
      </c>
      <c r="J46" s="90" t="b">
        <v>1</v>
      </c>
      <c r="K46" s="100" t="b">
        <v>1</v>
      </c>
      <c r="L46" s="84" t="b">
        <v>1</v>
      </c>
      <c r="M46" s="84" t="b">
        <v>1</v>
      </c>
      <c r="N46" s="84" t="b">
        <v>1</v>
      </c>
      <c r="O46" s="84" t="b">
        <v>1</v>
      </c>
      <c r="P46" s="84" t="b">
        <v>1</v>
      </c>
      <c r="Q46" s="101" t="b">
        <v>1</v>
      </c>
      <c r="R46" s="111" t="b">
        <v>1</v>
      </c>
      <c r="S46" s="85" t="b">
        <v>1</v>
      </c>
      <c r="T46" s="85" t="b">
        <v>1</v>
      </c>
      <c r="U46" s="85" t="b">
        <v>1</v>
      </c>
      <c r="V46" s="85" t="b">
        <v>1</v>
      </c>
      <c r="W46" s="37" t="b">
        <v>1</v>
      </c>
      <c r="X46" s="112" t="b">
        <v>1</v>
      </c>
      <c r="Y46" s="127" t="b">
        <v>1</v>
      </c>
      <c r="Z46" s="38" t="b">
        <v>1</v>
      </c>
      <c r="AA46" s="38" t="b">
        <v>1</v>
      </c>
      <c r="AB46" s="38" t="b">
        <v>1</v>
      </c>
      <c r="AC46" s="38" t="b">
        <v>1</v>
      </c>
      <c r="AD46" s="38" t="b">
        <v>0</v>
      </c>
      <c r="AE46" s="128" t="b">
        <v>1</v>
      </c>
      <c r="AF46" s="119" t="b">
        <v>0</v>
      </c>
      <c r="AG46" s="39" t="b">
        <v>1</v>
      </c>
      <c r="AH46" s="40" t="b">
        <v>1</v>
      </c>
      <c r="AI46" s="74" t="str">
        <f t="shared" si="12"/>
        <v>29  /  31</v>
      </c>
      <c r="AJ46" s="47">
        <f t="shared" si="15"/>
        <v>0.93548387096774188</v>
      </c>
      <c r="AK46" s="196" t="str">
        <f t="shared" si="16"/>
        <v>|||||||||||||||||||||||||||||||||||||||||||||||||||||||||||||||||||||||||||||||||||||||||||||</v>
      </c>
      <c r="AL46" s="197"/>
      <c r="AM46" s="19"/>
      <c r="AN46" s="19">
        <f t="shared" si="13"/>
        <v>29</v>
      </c>
      <c r="AO46" s="19">
        <f t="shared" si="14"/>
        <v>31</v>
      </c>
      <c r="AP46" s="20">
        <f>IFERROR(_xlfn.RANK.EQ(AN46,$AI$29:$AN$56,0)+COUNTIF($AN$29:AN46,AN46)-1,"")</f>
        <v>5</v>
      </c>
    </row>
    <row r="47" spans="2:42" ht="19.8" x14ac:dyDescent="0.3">
      <c r="B47" s="203" t="s">
        <v>53</v>
      </c>
      <c r="C47" s="204"/>
      <c r="D47" s="86" t="b">
        <v>1</v>
      </c>
      <c r="E47" s="35" t="b">
        <v>1</v>
      </c>
      <c r="F47" s="83" t="b">
        <v>1</v>
      </c>
      <c r="G47" s="35" t="b">
        <v>1</v>
      </c>
      <c r="H47" s="83" t="b">
        <v>1</v>
      </c>
      <c r="I47" s="83" t="b">
        <v>1</v>
      </c>
      <c r="J47" s="90" t="b">
        <v>1</v>
      </c>
      <c r="K47" s="100" t="b">
        <v>1</v>
      </c>
      <c r="L47" s="84" t="b">
        <v>1</v>
      </c>
      <c r="M47" s="84" t="b">
        <v>1</v>
      </c>
      <c r="N47" s="84" t="b">
        <v>1</v>
      </c>
      <c r="O47" s="84" t="b">
        <v>1</v>
      </c>
      <c r="P47" s="84" t="b">
        <v>1</v>
      </c>
      <c r="Q47" s="101" t="b">
        <v>1</v>
      </c>
      <c r="R47" s="111" t="b">
        <v>0</v>
      </c>
      <c r="S47" s="85" t="b">
        <v>1</v>
      </c>
      <c r="T47" s="85" t="b">
        <v>1</v>
      </c>
      <c r="U47" s="85" t="b">
        <v>1</v>
      </c>
      <c r="V47" s="85" t="b">
        <v>1</v>
      </c>
      <c r="W47" s="37" t="b">
        <v>1</v>
      </c>
      <c r="X47" s="112" t="b">
        <v>1</v>
      </c>
      <c r="Y47" s="127" t="b">
        <v>1</v>
      </c>
      <c r="Z47" s="38" t="b">
        <v>1</v>
      </c>
      <c r="AA47" s="38" t="b">
        <v>1</v>
      </c>
      <c r="AB47" s="38" t="b">
        <v>1</v>
      </c>
      <c r="AC47" s="38" t="b">
        <v>1</v>
      </c>
      <c r="AD47" s="38" t="b">
        <v>0</v>
      </c>
      <c r="AE47" s="128" t="b">
        <v>1</v>
      </c>
      <c r="AF47" s="119" t="b">
        <v>0</v>
      </c>
      <c r="AG47" s="39" t="b">
        <v>1</v>
      </c>
      <c r="AH47" s="40" t="b">
        <v>1</v>
      </c>
      <c r="AI47" s="74" t="str">
        <f t="shared" si="12"/>
        <v>28  /  31</v>
      </c>
      <c r="AJ47" s="47">
        <f t="shared" si="15"/>
        <v>0.90322580645161288</v>
      </c>
      <c r="AK47" s="196" t="str">
        <f t="shared" si="16"/>
        <v>||||||||||||||||||||||||||||||||||||||||||||||||||||||||||||||||||||||||||||||||||||||||||</v>
      </c>
      <c r="AL47" s="197"/>
      <c r="AM47" s="19"/>
      <c r="AN47" s="19">
        <f t="shared" si="13"/>
        <v>28</v>
      </c>
      <c r="AO47" s="19">
        <f t="shared" si="14"/>
        <v>31</v>
      </c>
      <c r="AP47" s="20">
        <f>IFERROR(_xlfn.RANK.EQ(AN47,$AI$29:$AN$56,0)+COUNTIF($AN$29:AN47,AN47)-1,"")</f>
        <v>7</v>
      </c>
    </row>
    <row r="48" spans="2:42" ht="19.8" x14ac:dyDescent="0.3">
      <c r="B48" s="203" t="s">
        <v>54</v>
      </c>
      <c r="C48" s="204"/>
      <c r="D48" s="86" t="b">
        <v>1</v>
      </c>
      <c r="E48" s="35" t="b">
        <v>1</v>
      </c>
      <c r="F48" s="83" t="b">
        <v>1</v>
      </c>
      <c r="G48" s="35" t="b">
        <v>1</v>
      </c>
      <c r="H48" s="83" t="b">
        <v>1</v>
      </c>
      <c r="I48" s="83" t="b">
        <v>1</v>
      </c>
      <c r="J48" s="90" t="b">
        <v>1</v>
      </c>
      <c r="K48" s="100" t="b">
        <v>1</v>
      </c>
      <c r="L48" s="84" t="b">
        <v>1</v>
      </c>
      <c r="M48" s="84" t="b">
        <v>1</v>
      </c>
      <c r="N48" s="84" t="b">
        <v>1</v>
      </c>
      <c r="O48" s="84" t="b">
        <v>1</v>
      </c>
      <c r="P48" s="84" t="b">
        <v>1</v>
      </c>
      <c r="Q48" s="101" t="b">
        <v>1</v>
      </c>
      <c r="R48" s="111" t="b">
        <v>1</v>
      </c>
      <c r="S48" s="85" t="b">
        <v>1</v>
      </c>
      <c r="T48" s="85" t="b">
        <v>1</v>
      </c>
      <c r="U48" s="85" t="b">
        <v>1</v>
      </c>
      <c r="V48" s="85" t="b">
        <v>1</v>
      </c>
      <c r="W48" s="37" t="b">
        <v>1</v>
      </c>
      <c r="X48" s="112" t="b">
        <v>1</v>
      </c>
      <c r="Y48" s="127" t="b">
        <v>1</v>
      </c>
      <c r="Z48" s="38" t="b">
        <v>1</v>
      </c>
      <c r="AA48" s="38" t="b">
        <v>0</v>
      </c>
      <c r="AB48" s="38" t="b">
        <v>1</v>
      </c>
      <c r="AC48" s="38" t="b">
        <v>1</v>
      </c>
      <c r="AD48" s="38" t="b">
        <v>0</v>
      </c>
      <c r="AE48" s="128" t="b">
        <v>1</v>
      </c>
      <c r="AF48" s="119" t="b">
        <v>0</v>
      </c>
      <c r="AG48" s="39" t="b">
        <v>1</v>
      </c>
      <c r="AH48" s="40" t="b">
        <v>1</v>
      </c>
      <c r="AI48" s="74" t="str">
        <f t="shared" si="12"/>
        <v>28  /  31</v>
      </c>
      <c r="AJ48" s="47">
        <f t="shared" si="15"/>
        <v>0.90322580645161288</v>
      </c>
      <c r="AK48" s="196" t="str">
        <f t="shared" si="16"/>
        <v>||||||||||||||||||||||||||||||||||||||||||||||||||||||||||||||||||||||||||||||||||||||||||</v>
      </c>
      <c r="AL48" s="197"/>
      <c r="AM48" s="19"/>
      <c r="AN48" s="19">
        <f t="shared" si="13"/>
        <v>28</v>
      </c>
      <c r="AO48" s="19">
        <f t="shared" si="14"/>
        <v>31</v>
      </c>
      <c r="AP48" s="20">
        <f>IFERROR(_xlfn.RANK.EQ(AN48,$AI$29:$AN$56,0)+COUNTIF($AN$29:AN48,AN48)-1,"")</f>
        <v>8</v>
      </c>
    </row>
    <row r="49" spans="2:42" ht="19.8" x14ac:dyDescent="0.3">
      <c r="B49" s="203" t="s">
        <v>55</v>
      </c>
      <c r="C49" s="204"/>
      <c r="D49" s="86" t="b">
        <v>1</v>
      </c>
      <c r="E49" s="35" t="b">
        <v>1</v>
      </c>
      <c r="F49" s="83" t="b">
        <v>1</v>
      </c>
      <c r="G49" s="35" t="b">
        <v>1</v>
      </c>
      <c r="H49" s="83" t="b">
        <v>1</v>
      </c>
      <c r="I49" s="83" t="b">
        <v>1</v>
      </c>
      <c r="J49" s="90" t="b">
        <v>1</v>
      </c>
      <c r="K49" s="100" t="b">
        <v>1</v>
      </c>
      <c r="L49" s="84" t="b">
        <v>1</v>
      </c>
      <c r="M49" s="84" t="b">
        <v>1</v>
      </c>
      <c r="N49" s="84" t="b">
        <v>1</v>
      </c>
      <c r="O49" s="84" t="b">
        <v>1</v>
      </c>
      <c r="P49" s="84" t="b">
        <v>1</v>
      </c>
      <c r="Q49" s="101" t="b">
        <v>1</v>
      </c>
      <c r="R49" s="111" t="b">
        <v>1</v>
      </c>
      <c r="S49" s="85" t="b">
        <v>1</v>
      </c>
      <c r="T49" s="85" t="b">
        <v>1</v>
      </c>
      <c r="U49" s="85" t="b">
        <v>1</v>
      </c>
      <c r="V49" s="85" t="b">
        <v>1</v>
      </c>
      <c r="W49" s="37" t="b">
        <v>1</v>
      </c>
      <c r="X49" s="112" t="b">
        <v>1</v>
      </c>
      <c r="Y49" s="127" t="b">
        <v>1</v>
      </c>
      <c r="Z49" s="38" t="b">
        <v>1</v>
      </c>
      <c r="AA49" s="38" t="b">
        <v>0</v>
      </c>
      <c r="AB49" s="38" t="b">
        <v>1</v>
      </c>
      <c r="AC49" s="38" t="b">
        <v>0</v>
      </c>
      <c r="AD49" s="38" t="b">
        <v>0</v>
      </c>
      <c r="AE49" s="128" t="b">
        <v>1</v>
      </c>
      <c r="AF49" s="119" t="b">
        <v>0</v>
      </c>
      <c r="AG49" s="39" t="b">
        <v>1</v>
      </c>
      <c r="AH49" s="40" t="b">
        <v>1</v>
      </c>
      <c r="AI49" s="74" t="str">
        <f t="shared" si="12"/>
        <v>27  /  31</v>
      </c>
      <c r="AJ49" s="47">
        <f t="shared" si="15"/>
        <v>0.87096774193548387</v>
      </c>
      <c r="AK49" s="198" t="str">
        <f t="shared" si="16"/>
        <v>|||||||||||||||||||||||||||||||||||||||||||||||||||||||||||||||||||||||||||||||||||||||</v>
      </c>
      <c r="AL49" s="199"/>
      <c r="AM49" s="19"/>
      <c r="AN49" s="19">
        <f t="shared" si="13"/>
        <v>27</v>
      </c>
      <c r="AO49" s="19">
        <f t="shared" si="14"/>
        <v>31</v>
      </c>
      <c r="AP49" s="20">
        <f>IFERROR(_xlfn.RANK.EQ(AN49,$AI$29:$AN$56,0)+COUNTIF($AN$29:AN49,AN49)-1,"")</f>
        <v>13</v>
      </c>
    </row>
    <row r="50" spans="2:42" ht="19.8" x14ac:dyDescent="0.3">
      <c r="B50" s="203" t="s">
        <v>56</v>
      </c>
      <c r="C50" s="204"/>
      <c r="D50" s="86" t="b">
        <v>1</v>
      </c>
      <c r="E50" s="35" t="b">
        <v>1</v>
      </c>
      <c r="F50" s="83" t="b">
        <v>1</v>
      </c>
      <c r="G50" s="35" t="b">
        <v>1</v>
      </c>
      <c r="H50" s="83" t="b">
        <v>1</v>
      </c>
      <c r="I50" s="83" t="b">
        <v>1</v>
      </c>
      <c r="J50" s="90" t="b">
        <v>1</v>
      </c>
      <c r="K50" s="100" t="b">
        <v>1</v>
      </c>
      <c r="L50" s="84" t="b">
        <v>1</v>
      </c>
      <c r="M50" s="84" t="b">
        <v>1</v>
      </c>
      <c r="N50" s="84" t="b">
        <v>1</v>
      </c>
      <c r="O50" s="84" t="b">
        <v>1</v>
      </c>
      <c r="P50" s="84" t="b">
        <v>1</v>
      </c>
      <c r="Q50" s="101" t="b">
        <v>1</v>
      </c>
      <c r="R50" s="111" t="b">
        <v>1</v>
      </c>
      <c r="S50" s="85" t="b">
        <v>1</v>
      </c>
      <c r="T50" s="85" t="b">
        <v>1</v>
      </c>
      <c r="U50" s="85" t="b">
        <v>1</v>
      </c>
      <c r="V50" s="85" t="b">
        <v>1</v>
      </c>
      <c r="W50" s="37" t="b">
        <v>1</v>
      </c>
      <c r="X50" s="112" t="b">
        <v>0</v>
      </c>
      <c r="Y50" s="127" t="b">
        <v>1</v>
      </c>
      <c r="Z50" s="38" t="b">
        <v>1</v>
      </c>
      <c r="AA50" s="38" t="b">
        <v>1</v>
      </c>
      <c r="AB50" s="38" t="b">
        <v>1</v>
      </c>
      <c r="AC50" s="38" t="b">
        <v>0</v>
      </c>
      <c r="AD50" s="38" t="b">
        <v>0</v>
      </c>
      <c r="AE50" s="128" t="b">
        <v>1</v>
      </c>
      <c r="AF50" s="119" t="b">
        <v>0</v>
      </c>
      <c r="AG50" s="39" t="b">
        <v>1</v>
      </c>
      <c r="AH50" s="40" t="b">
        <v>1</v>
      </c>
      <c r="AI50" s="74" t="str">
        <f t="shared" si="12"/>
        <v>27  /  31</v>
      </c>
      <c r="AJ50" s="47">
        <f t="shared" si="15"/>
        <v>0.87096774193548387</v>
      </c>
      <c r="AK50" s="196" t="str">
        <f t="shared" si="16"/>
        <v>|||||||||||||||||||||||||||||||||||||||||||||||||||||||||||||||||||||||||||||||||||||||</v>
      </c>
      <c r="AL50" s="197"/>
      <c r="AM50" s="19"/>
      <c r="AN50" s="19">
        <f t="shared" si="13"/>
        <v>27</v>
      </c>
      <c r="AO50" s="19">
        <f t="shared" si="14"/>
        <v>31</v>
      </c>
      <c r="AP50" s="20">
        <f>IFERROR(_xlfn.RANK.EQ(AN50,$AI$29:$AN$56,0)+COUNTIF($AN$29:AN50,AN50)-1,"")</f>
        <v>14</v>
      </c>
    </row>
    <row r="51" spans="2:42" ht="19.8" x14ac:dyDescent="0.3">
      <c r="B51" s="203" t="s">
        <v>57</v>
      </c>
      <c r="C51" s="204"/>
      <c r="D51" s="86" t="b">
        <v>1</v>
      </c>
      <c r="E51" s="35" t="b">
        <v>1</v>
      </c>
      <c r="F51" s="83" t="b">
        <v>1</v>
      </c>
      <c r="G51" s="35" t="b">
        <v>1</v>
      </c>
      <c r="H51" s="83" t="b">
        <v>1</v>
      </c>
      <c r="I51" s="83" t="b">
        <v>1</v>
      </c>
      <c r="J51" s="90" t="b">
        <v>1</v>
      </c>
      <c r="K51" s="100" t="b">
        <v>1</v>
      </c>
      <c r="L51" s="36" t="b">
        <v>0</v>
      </c>
      <c r="M51" s="84" t="b">
        <v>1</v>
      </c>
      <c r="N51" s="84" t="b">
        <v>1</v>
      </c>
      <c r="O51" s="36" t="b">
        <v>0</v>
      </c>
      <c r="P51" s="84" t="b">
        <v>1</v>
      </c>
      <c r="Q51" s="101" t="b">
        <v>1</v>
      </c>
      <c r="R51" s="111" t="b">
        <v>1</v>
      </c>
      <c r="S51" s="85" t="b">
        <v>1</v>
      </c>
      <c r="T51" s="85" t="b">
        <v>1</v>
      </c>
      <c r="U51" s="85" t="b">
        <v>1</v>
      </c>
      <c r="V51" s="85" t="b">
        <v>1</v>
      </c>
      <c r="W51" s="37" t="b">
        <v>1</v>
      </c>
      <c r="X51" s="112" t="b">
        <v>0</v>
      </c>
      <c r="Y51" s="127" t="b">
        <v>1</v>
      </c>
      <c r="Z51" s="38" t="b">
        <v>1</v>
      </c>
      <c r="AA51" s="38" t="b">
        <v>0</v>
      </c>
      <c r="AB51" s="38" t="b">
        <v>1</v>
      </c>
      <c r="AC51" s="38" t="b">
        <v>0</v>
      </c>
      <c r="AD51" s="38" t="b">
        <v>0</v>
      </c>
      <c r="AE51" s="128" t="b">
        <v>0</v>
      </c>
      <c r="AF51" s="119" t="b">
        <v>0</v>
      </c>
      <c r="AG51" s="39" t="b">
        <v>1</v>
      </c>
      <c r="AH51" s="40" t="b">
        <v>1</v>
      </c>
      <c r="AI51" s="74" t="str">
        <f t="shared" si="12"/>
        <v>23  /  31</v>
      </c>
      <c r="AJ51" s="47">
        <f t="shared" si="15"/>
        <v>0.74193548387096775</v>
      </c>
      <c r="AK51" s="196" t="str">
        <f t="shared" si="16"/>
        <v>||||||||||||||||||||||||||||||||||||||||||||||||||||||||||||||||||||||||||</v>
      </c>
      <c r="AL51" s="197"/>
      <c r="AM51" s="19"/>
      <c r="AN51" s="19">
        <f t="shared" si="13"/>
        <v>23</v>
      </c>
      <c r="AO51" s="19">
        <f t="shared" si="14"/>
        <v>31</v>
      </c>
      <c r="AP51" s="20">
        <f>IFERROR(_xlfn.RANK.EQ(AN51,$AI$29:$AN$56,0)+COUNTIF($AN$29:AN51,AN51)-1,"")</f>
        <v>22</v>
      </c>
    </row>
    <row r="52" spans="2:42" ht="19.8" x14ac:dyDescent="0.3">
      <c r="B52" s="203" t="s">
        <v>58</v>
      </c>
      <c r="C52" s="204"/>
      <c r="D52" s="86" t="b">
        <v>1</v>
      </c>
      <c r="E52" s="35" t="b">
        <v>1</v>
      </c>
      <c r="F52" s="83" t="b">
        <v>1</v>
      </c>
      <c r="G52" s="35" t="b">
        <v>1</v>
      </c>
      <c r="H52" s="83" t="b">
        <v>0</v>
      </c>
      <c r="I52" s="83" t="b">
        <v>1</v>
      </c>
      <c r="J52" s="90" t="b">
        <v>1</v>
      </c>
      <c r="K52" s="100" t="b">
        <v>1</v>
      </c>
      <c r="L52" s="36" t="b">
        <v>0</v>
      </c>
      <c r="M52" s="84" t="b">
        <v>1</v>
      </c>
      <c r="N52" s="84" t="b">
        <v>1</v>
      </c>
      <c r="O52" s="36" t="b">
        <v>0</v>
      </c>
      <c r="P52" s="84" t="b">
        <v>1</v>
      </c>
      <c r="Q52" s="101" t="b">
        <v>1</v>
      </c>
      <c r="R52" s="111" t="b">
        <v>1</v>
      </c>
      <c r="S52" s="85" t="b">
        <v>1</v>
      </c>
      <c r="T52" s="85" t="b">
        <v>1</v>
      </c>
      <c r="U52" s="85" t="b">
        <v>1</v>
      </c>
      <c r="V52" s="85" t="b">
        <v>1</v>
      </c>
      <c r="W52" s="37" t="b">
        <v>1</v>
      </c>
      <c r="X52" s="112" t="b">
        <v>0</v>
      </c>
      <c r="Y52" s="127" t="b">
        <v>1</v>
      </c>
      <c r="Z52" s="38" t="b">
        <v>0</v>
      </c>
      <c r="AA52" s="38" t="b">
        <v>0</v>
      </c>
      <c r="AB52" s="38" t="b">
        <v>1</v>
      </c>
      <c r="AC52" s="38" t="b">
        <v>0</v>
      </c>
      <c r="AD52" s="38" t="b">
        <v>0</v>
      </c>
      <c r="AE52" s="128" t="b">
        <v>1</v>
      </c>
      <c r="AF52" s="119" t="b">
        <v>0</v>
      </c>
      <c r="AG52" s="39" t="b">
        <v>1</v>
      </c>
      <c r="AH52" s="40" t="b">
        <v>1</v>
      </c>
      <c r="AI52" s="74" t="str">
        <f t="shared" si="12"/>
        <v>22  /  31</v>
      </c>
      <c r="AJ52" s="47">
        <f t="shared" si="15"/>
        <v>0.70967741935483875</v>
      </c>
      <c r="AK52" s="196" t="str">
        <f t="shared" si="16"/>
        <v>||||||||||||||||||||||||||||||||||||||||||||||||||||||||||||||||||||||</v>
      </c>
      <c r="AL52" s="197"/>
      <c r="AM52" s="19"/>
      <c r="AN52" s="19">
        <f t="shared" si="13"/>
        <v>22</v>
      </c>
      <c r="AO52" s="19">
        <f t="shared" si="14"/>
        <v>31</v>
      </c>
      <c r="AP52" s="20">
        <f>IFERROR(_xlfn.RANK.EQ(AN52,$AI$29:$AN$56,0)+COUNTIF($AN$29:AN52,AN52)-1,"")</f>
        <v>23</v>
      </c>
    </row>
    <row r="53" spans="2:42" ht="19.8" x14ac:dyDescent="0.3">
      <c r="B53" s="203" t="s">
        <v>59</v>
      </c>
      <c r="C53" s="204"/>
      <c r="D53" s="86" t="b">
        <v>1</v>
      </c>
      <c r="E53" s="35" t="b">
        <v>1</v>
      </c>
      <c r="F53" s="83" t="b">
        <v>1</v>
      </c>
      <c r="G53" s="35" t="b">
        <v>0</v>
      </c>
      <c r="H53" s="83" t="b">
        <v>1</v>
      </c>
      <c r="I53" s="83" t="b">
        <v>1</v>
      </c>
      <c r="J53" s="90" t="b">
        <v>1</v>
      </c>
      <c r="K53" s="100" t="b">
        <v>1</v>
      </c>
      <c r="L53" s="36" t="b">
        <v>0</v>
      </c>
      <c r="M53" s="84" t="b">
        <v>1</v>
      </c>
      <c r="N53" s="84" t="b">
        <v>1</v>
      </c>
      <c r="O53" s="36" t="b">
        <v>0</v>
      </c>
      <c r="P53" s="84" t="b">
        <v>1</v>
      </c>
      <c r="Q53" s="101" t="b">
        <v>1</v>
      </c>
      <c r="R53" s="111" t="b">
        <v>1</v>
      </c>
      <c r="S53" s="85" t="b">
        <v>1</v>
      </c>
      <c r="T53" s="85" t="b">
        <v>1</v>
      </c>
      <c r="U53" s="85" t="b">
        <v>1</v>
      </c>
      <c r="V53" s="37" t="b">
        <v>0</v>
      </c>
      <c r="W53" s="37" t="b">
        <v>1</v>
      </c>
      <c r="X53" s="112" t="b">
        <v>0</v>
      </c>
      <c r="Y53" s="127" t="b">
        <v>1</v>
      </c>
      <c r="Z53" s="38" t="b">
        <v>0</v>
      </c>
      <c r="AA53" s="38" t="b">
        <v>0</v>
      </c>
      <c r="AB53" s="38" t="b">
        <v>1</v>
      </c>
      <c r="AC53" s="38" t="b">
        <v>0</v>
      </c>
      <c r="AD53" s="38" t="b">
        <v>0</v>
      </c>
      <c r="AE53" s="128" t="b">
        <v>0</v>
      </c>
      <c r="AF53" s="119" t="b">
        <v>0</v>
      </c>
      <c r="AG53" s="39" t="b">
        <v>0</v>
      </c>
      <c r="AH53" s="40" t="b">
        <v>1</v>
      </c>
      <c r="AI53" s="74" t="str">
        <f t="shared" ref="AI53:AI57" si="17">IFERROR(IF(B53="","",AN53&amp;"  /  "&amp;AO53),"")</f>
        <v>19  /  31</v>
      </c>
      <c r="AJ53" s="47">
        <f t="shared" si="15"/>
        <v>0.61290322580645162</v>
      </c>
      <c r="AK53" s="196" t="str">
        <f t="shared" si="16"/>
        <v>|||||||||||||||||||||||||||||||||||||||||||||||||||||||||||||</v>
      </c>
      <c r="AL53" s="197"/>
      <c r="AM53" s="19"/>
      <c r="AN53" s="19">
        <f t="shared" si="11"/>
        <v>19</v>
      </c>
      <c r="AO53" s="19">
        <f t="shared" si="7"/>
        <v>31</v>
      </c>
      <c r="AP53" s="20">
        <f>IFERROR(_xlfn.RANK.EQ(AN53,$AI$29:$AN$56,0)+COUNTIF($AN$29:AN53,AN53)-1,"")</f>
        <v>25</v>
      </c>
    </row>
    <row r="54" spans="2:42" ht="19.8" x14ac:dyDescent="0.3">
      <c r="B54" s="203" t="s">
        <v>60</v>
      </c>
      <c r="C54" s="204"/>
      <c r="D54" s="86" t="b">
        <v>0</v>
      </c>
      <c r="E54" s="35" t="b">
        <v>1</v>
      </c>
      <c r="F54" s="83" t="b">
        <v>0</v>
      </c>
      <c r="G54" s="35" t="b">
        <v>1</v>
      </c>
      <c r="H54" s="83" t="b">
        <v>1</v>
      </c>
      <c r="I54" s="83" t="b">
        <v>1</v>
      </c>
      <c r="J54" s="90" t="b">
        <v>0</v>
      </c>
      <c r="K54" s="102" t="b">
        <v>0</v>
      </c>
      <c r="L54" s="36" t="b">
        <v>0</v>
      </c>
      <c r="M54" s="36" t="b">
        <v>0</v>
      </c>
      <c r="N54" s="84" t="b">
        <v>1</v>
      </c>
      <c r="O54" s="36" t="b">
        <v>0</v>
      </c>
      <c r="P54" s="36" t="b">
        <v>0</v>
      </c>
      <c r="Q54" s="101" t="b">
        <v>1</v>
      </c>
      <c r="R54" s="113" t="b">
        <v>0</v>
      </c>
      <c r="S54" s="85" t="b">
        <v>1</v>
      </c>
      <c r="T54" s="85" t="b">
        <v>1</v>
      </c>
      <c r="U54" s="85" t="b">
        <v>1</v>
      </c>
      <c r="V54" s="37" t="b">
        <v>0</v>
      </c>
      <c r="W54" s="37" t="b">
        <v>1</v>
      </c>
      <c r="X54" s="112" t="b">
        <v>0</v>
      </c>
      <c r="Y54" s="127" t="b">
        <v>1</v>
      </c>
      <c r="Z54" s="38" t="b">
        <v>0</v>
      </c>
      <c r="AA54" s="38" t="b">
        <v>0</v>
      </c>
      <c r="AB54" s="38" t="b">
        <v>1</v>
      </c>
      <c r="AC54" s="38" t="b">
        <v>0</v>
      </c>
      <c r="AD54" s="38" t="b">
        <v>1</v>
      </c>
      <c r="AE54" s="128" t="b">
        <v>0</v>
      </c>
      <c r="AF54" s="119" t="b">
        <v>0</v>
      </c>
      <c r="AG54" s="39" t="b">
        <v>0</v>
      </c>
      <c r="AH54" s="40" t="b">
        <v>1</v>
      </c>
      <c r="AI54" s="74" t="str">
        <f t="shared" si="17"/>
        <v>14  /  31</v>
      </c>
      <c r="AJ54" s="47">
        <f t="shared" si="15"/>
        <v>0.45161290322580644</v>
      </c>
      <c r="AK54" s="196" t="str">
        <f t="shared" si="16"/>
        <v>|||||||||||||||||||||||||||||||||||||||||||||</v>
      </c>
      <c r="AL54" s="197"/>
      <c r="AM54" s="19"/>
      <c r="AN54" s="19">
        <f t="shared" si="11"/>
        <v>14</v>
      </c>
      <c r="AO54" s="19">
        <f t="shared" si="7"/>
        <v>31</v>
      </c>
      <c r="AP54" s="20">
        <f>IFERROR(_xlfn.RANK.EQ(AN54,$AI$29:$AN$56,0)+COUNTIF($AN$29:AN54,AN54)-1,"")</f>
        <v>26</v>
      </c>
    </row>
    <row r="55" spans="2:42" ht="19.8" x14ac:dyDescent="0.3">
      <c r="B55" s="203" t="s">
        <v>61</v>
      </c>
      <c r="C55" s="204"/>
      <c r="D55" s="86" t="b">
        <v>1</v>
      </c>
      <c r="E55" s="35" t="b">
        <v>1</v>
      </c>
      <c r="F55" s="83" t="b">
        <v>1</v>
      </c>
      <c r="G55" s="35" t="b">
        <v>1</v>
      </c>
      <c r="H55" s="83" t="b">
        <v>1</v>
      </c>
      <c r="I55" s="83" t="b">
        <v>0</v>
      </c>
      <c r="J55" s="90" t="b">
        <v>1</v>
      </c>
      <c r="K55" s="102" t="b">
        <v>0</v>
      </c>
      <c r="L55" s="36" t="b">
        <v>0</v>
      </c>
      <c r="M55" s="36" t="b">
        <v>0</v>
      </c>
      <c r="N55" s="84" t="b">
        <v>1</v>
      </c>
      <c r="O55" s="36" t="b">
        <v>0</v>
      </c>
      <c r="P55" s="36" t="b">
        <v>0</v>
      </c>
      <c r="Q55" s="101" t="b">
        <v>1</v>
      </c>
      <c r="R55" s="113" t="b">
        <v>0</v>
      </c>
      <c r="S55" s="85" t="b">
        <v>1</v>
      </c>
      <c r="T55" s="85" t="b">
        <v>1</v>
      </c>
      <c r="U55" s="37" t="b">
        <v>0</v>
      </c>
      <c r="V55" s="37" t="b">
        <v>0</v>
      </c>
      <c r="W55" s="37" t="b">
        <v>0</v>
      </c>
      <c r="X55" s="112" t="b">
        <v>0</v>
      </c>
      <c r="Y55" s="127" t="b">
        <v>1</v>
      </c>
      <c r="Z55" s="38" t="b">
        <v>0</v>
      </c>
      <c r="AA55" s="38" t="b">
        <v>0</v>
      </c>
      <c r="AB55" s="38" t="b">
        <v>1</v>
      </c>
      <c r="AC55" s="38" t="b">
        <v>0</v>
      </c>
      <c r="AD55" s="38" t="b">
        <v>0</v>
      </c>
      <c r="AE55" s="128" t="b">
        <v>0</v>
      </c>
      <c r="AF55" s="119" t="b">
        <v>0</v>
      </c>
      <c r="AG55" s="39" t="b">
        <v>0</v>
      </c>
      <c r="AH55" s="40" t="b">
        <v>0</v>
      </c>
      <c r="AI55" s="74" t="str">
        <f t="shared" si="17"/>
        <v>12  /  31</v>
      </c>
      <c r="AJ55" s="47">
        <f t="shared" si="15"/>
        <v>0.38709677419354838</v>
      </c>
      <c r="AK55" s="196" t="str">
        <f t="shared" si="16"/>
        <v>||||||||||||||||||||||||||||||||||||||</v>
      </c>
      <c r="AL55" s="197"/>
      <c r="AM55" s="19"/>
      <c r="AN55" s="19">
        <f t="shared" si="11"/>
        <v>12</v>
      </c>
      <c r="AO55" s="19">
        <f t="shared" si="7"/>
        <v>31</v>
      </c>
      <c r="AP55" s="20">
        <f>IFERROR(_xlfn.RANK.EQ(AN55,$AI$29:$AN$56,0)+COUNTIF($AN$29:AN55,AN55)-1,"")</f>
        <v>27</v>
      </c>
    </row>
    <row r="56" spans="2:42" ht="19.8" x14ac:dyDescent="0.3">
      <c r="B56" s="203" t="s">
        <v>62</v>
      </c>
      <c r="C56" s="204"/>
      <c r="D56" s="86" t="b">
        <v>1</v>
      </c>
      <c r="E56" s="35" t="b">
        <v>1</v>
      </c>
      <c r="F56" s="83" t="b">
        <v>1</v>
      </c>
      <c r="G56" s="35" t="b">
        <v>0</v>
      </c>
      <c r="H56" s="83" t="b">
        <v>0</v>
      </c>
      <c r="I56" s="83" t="b">
        <v>1</v>
      </c>
      <c r="J56" s="90" t="b">
        <v>1</v>
      </c>
      <c r="K56" s="102" t="b">
        <v>0</v>
      </c>
      <c r="L56" s="36" t="b">
        <v>0</v>
      </c>
      <c r="M56" s="36" t="b">
        <v>0</v>
      </c>
      <c r="N56" s="36" t="b">
        <v>0</v>
      </c>
      <c r="O56" s="36" t="b">
        <v>0</v>
      </c>
      <c r="P56" s="36" t="b">
        <v>0</v>
      </c>
      <c r="Q56" s="101" t="b">
        <v>0</v>
      </c>
      <c r="R56" s="113" t="b">
        <v>0</v>
      </c>
      <c r="S56" s="37" t="b">
        <v>0</v>
      </c>
      <c r="T56" s="37" t="b">
        <v>0</v>
      </c>
      <c r="U56" s="37" t="b">
        <v>0</v>
      </c>
      <c r="V56" s="37" t="b">
        <v>0</v>
      </c>
      <c r="W56" s="37" t="b">
        <v>0</v>
      </c>
      <c r="X56" s="112" t="b">
        <v>0</v>
      </c>
      <c r="Y56" s="127" t="b">
        <v>1</v>
      </c>
      <c r="Z56" s="38" t="b">
        <v>0</v>
      </c>
      <c r="AA56" s="38" t="b">
        <v>0</v>
      </c>
      <c r="AB56" s="38" t="b">
        <v>0</v>
      </c>
      <c r="AC56" s="38" t="b">
        <v>0</v>
      </c>
      <c r="AD56" s="38" t="b">
        <v>0</v>
      </c>
      <c r="AE56" s="128" t="b">
        <v>0</v>
      </c>
      <c r="AF56" s="119" t="b">
        <v>0</v>
      </c>
      <c r="AG56" s="39" t="b">
        <v>0</v>
      </c>
      <c r="AH56" s="40" t="b">
        <v>0</v>
      </c>
      <c r="AI56" s="74" t="str">
        <f t="shared" si="17"/>
        <v>6  /  31</v>
      </c>
      <c r="AJ56" s="47">
        <f t="shared" si="15"/>
        <v>0.19354838709677419</v>
      </c>
      <c r="AK56" s="196" t="str">
        <f t="shared" si="16"/>
        <v>|||||||||||||||||||</v>
      </c>
      <c r="AL56" s="197"/>
      <c r="AM56" s="19"/>
      <c r="AN56" s="19">
        <f t="shared" si="11"/>
        <v>6</v>
      </c>
      <c r="AO56" s="19">
        <f t="shared" si="7"/>
        <v>31</v>
      </c>
      <c r="AP56" s="20">
        <f>IFERROR(_xlfn.RANK.EQ(AN56,$AI$29:$AN$56,0)+COUNTIF($AN$29:AN56,AN56)-1,"")</f>
        <v>28</v>
      </c>
    </row>
    <row r="57" spans="2:42" ht="20.399999999999999" thickBot="1" x14ac:dyDescent="0.35">
      <c r="B57" s="205" t="s">
        <v>63</v>
      </c>
      <c r="C57" s="206"/>
      <c r="D57" s="87" t="b">
        <v>1</v>
      </c>
      <c r="E57" s="41" t="b">
        <v>1</v>
      </c>
      <c r="F57" s="88" t="b">
        <v>1</v>
      </c>
      <c r="G57" s="41" t="b">
        <v>1</v>
      </c>
      <c r="H57" s="88" t="b">
        <v>1</v>
      </c>
      <c r="I57" s="88" t="b">
        <v>1</v>
      </c>
      <c r="J57" s="91" t="b">
        <v>1</v>
      </c>
      <c r="K57" s="103" t="b">
        <v>0</v>
      </c>
      <c r="L57" s="42" t="b">
        <v>0</v>
      </c>
      <c r="M57" s="42" t="b">
        <v>0</v>
      </c>
      <c r="N57" s="42" t="b">
        <v>0</v>
      </c>
      <c r="O57" s="42" t="b">
        <v>0</v>
      </c>
      <c r="P57" s="42" t="b">
        <v>0</v>
      </c>
      <c r="Q57" s="104" t="b">
        <v>0</v>
      </c>
      <c r="R57" s="114" t="b">
        <v>0</v>
      </c>
      <c r="S57" s="43" t="b">
        <v>0</v>
      </c>
      <c r="T57" s="43" t="b">
        <v>0</v>
      </c>
      <c r="U57" s="43" t="b">
        <v>0</v>
      </c>
      <c r="V57" s="43" t="b">
        <v>0</v>
      </c>
      <c r="W57" s="43" t="b">
        <v>0</v>
      </c>
      <c r="X57" s="115" t="b">
        <v>0</v>
      </c>
      <c r="Y57" s="129" t="b">
        <v>0</v>
      </c>
      <c r="Z57" s="44" t="b">
        <v>0</v>
      </c>
      <c r="AA57" s="44" t="b">
        <v>0</v>
      </c>
      <c r="AB57" s="44" t="b">
        <v>0</v>
      </c>
      <c r="AC57" s="44" t="b">
        <v>0</v>
      </c>
      <c r="AD57" s="44" t="b">
        <v>0</v>
      </c>
      <c r="AE57" s="130" t="b">
        <v>0</v>
      </c>
      <c r="AF57" s="120" t="b">
        <v>0</v>
      </c>
      <c r="AG57" s="45" t="b">
        <v>0</v>
      </c>
      <c r="AH57" s="46" t="b">
        <v>0</v>
      </c>
      <c r="AI57" s="75" t="str">
        <f t="shared" si="17"/>
        <v>7  /  31</v>
      </c>
      <c r="AJ57" s="48">
        <f t="shared" si="15"/>
        <v>0.22580645161290322</v>
      </c>
      <c r="AK57" s="201" t="str">
        <f t="shared" si="16"/>
        <v>||||||||||||||||||||||</v>
      </c>
      <c r="AL57" s="202"/>
      <c r="AM57" s="19"/>
      <c r="AN57" s="19">
        <f t="shared" si="11"/>
        <v>7</v>
      </c>
      <c r="AO57" s="19">
        <f t="shared" si="7"/>
        <v>31</v>
      </c>
      <c r="AP57" s="20" t="str">
        <f>IFERROR(_xlfn.RANK.EQ(AN57,$AI$29:$AN$56,0)+COUNTIF($AN$29:AN57,AN57)-1,"")</f>
        <v/>
      </c>
    </row>
    <row r="58" spans="2:42" ht="19.8" x14ac:dyDescent="0.3">
      <c r="AJ58" s="27"/>
      <c r="AK58" s="200"/>
      <c r="AL58" s="200"/>
    </row>
    <row r="59" spans="2:42" ht="15" thickBot="1" x14ac:dyDescent="0.35"/>
    <row r="60" spans="2:42" ht="30" customHeight="1" thickTop="1" thickBot="1" x14ac:dyDescent="0.35">
      <c r="B60" s="162" t="s">
        <v>22</v>
      </c>
      <c r="C60" s="163"/>
      <c r="D60" s="166" t="s">
        <v>23</v>
      </c>
      <c r="E60" s="167"/>
      <c r="F60" s="167"/>
      <c r="G60" s="167"/>
      <c r="H60" s="167"/>
      <c r="I60" s="167"/>
      <c r="J60" s="168"/>
      <c r="K60" s="169" t="s">
        <v>24</v>
      </c>
      <c r="L60" s="170"/>
      <c r="M60" s="170"/>
      <c r="N60" s="170"/>
      <c r="O60" s="170"/>
      <c r="P60" s="170"/>
      <c r="Q60" s="171"/>
      <c r="R60" s="172" t="s">
        <v>25</v>
      </c>
      <c r="S60" s="173"/>
      <c r="T60" s="173"/>
      <c r="U60" s="173"/>
      <c r="V60" s="173"/>
      <c r="W60" s="173"/>
      <c r="X60" s="174"/>
      <c r="Y60" s="175" t="s">
        <v>26</v>
      </c>
      <c r="Z60" s="176"/>
      <c r="AA60" s="176"/>
      <c r="AB60" s="176"/>
      <c r="AC60" s="176"/>
      <c r="AD60" s="176"/>
      <c r="AE60" s="177"/>
      <c r="AF60" s="178" t="s">
        <v>27</v>
      </c>
      <c r="AG60" s="179"/>
      <c r="AH60" s="179"/>
      <c r="AI60" s="179"/>
      <c r="AJ60" s="180"/>
      <c r="AK60" s="158" t="str">
        <f>"You have completed "&amp;C74&amp;" weekly habits"</f>
        <v>You have completed 64 weekly habits</v>
      </c>
      <c r="AL60" s="159"/>
    </row>
    <row r="61" spans="2:42" ht="30" customHeight="1" thickTop="1" thickBot="1" x14ac:dyDescent="0.35">
      <c r="B61" s="164"/>
      <c r="C61" s="165"/>
      <c r="D61" s="181">
        <f>IFERROR(COUNTIFS(D63:D77,TRUE,E63:E77,"&lt;&gt;")/COUNTIF(E63:E77,"&lt;&gt;"),"")</f>
        <v>1</v>
      </c>
      <c r="E61" s="182"/>
      <c r="F61" s="182"/>
      <c r="G61" s="182"/>
      <c r="H61" s="182"/>
      <c r="I61" s="182"/>
      <c r="J61" s="183"/>
      <c r="K61" s="184">
        <f>IFERROR(COUNTIFS(D63:D77,TRUE,E63:E77,"&lt;&gt;")/COUNTIF(E63:E77,"&lt;&gt;"),"")</f>
        <v>1</v>
      </c>
      <c r="L61" s="185"/>
      <c r="M61" s="185"/>
      <c r="N61" s="185"/>
      <c r="O61" s="185"/>
      <c r="P61" s="185"/>
      <c r="Q61" s="186"/>
      <c r="R61" s="187">
        <f>IFERROR(COUNTIFS(D63:D77,TRUE,E63:E77,"&lt;&gt;")/COUNTIF(E63:E77,"&lt;&gt;"),"")</f>
        <v>1</v>
      </c>
      <c r="S61" s="188"/>
      <c r="T61" s="188"/>
      <c r="U61" s="188"/>
      <c r="V61" s="188"/>
      <c r="W61" s="188"/>
      <c r="X61" s="189"/>
      <c r="Y61" s="190">
        <f>IFERROR(COUNTIFS(D63:D77,TRUE,E63:E77,"&lt;&gt;")/COUNTIF(E63:E77,"&lt;&gt;"),"")</f>
        <v>1</v>
      </c>
      <c r="Z61" s="191"/>
      <c r="AA61" s="191"/>
      <c r="AB61" s="191"/>
      <c r="AC61" s="191"/>
      <c r="AD61" s="191"/>
      <c r="AE61" s="192"/>
      <c r="AF61" s="193">
        <f>IFERROR(COUNTIFS(D63:D77,TRUE,E63:E77,"&lt;&gt;")/COUNTIF(E63:E77,"&lt;&gt;"),"")</f>
        <v>1</v>
      </c>
      <c r="AG61" s="194"/>
      <c r="AH61" s="194"/>
      <c r="AI61" s="194"/>
      <c r="AJ61" s="195"/>
      <c r="AK61" s="160"/>
      <c r="AL61" s="161"/>
    </row>
    <row r="62" spans="2:42" ht="9.6" customHeight="1" thickTop="1" x14ac:dyDescent="0.3">
      <c r="B62" s="50"/>
      <c r="C62" s="51"/>
      <c r="D62" s="52"/>
      <c r="E62" s="53"/>
      <c r="F62" s="53"/>
      <c r="G62" s="53"/>
      <c r="H62" s="53"/>
      <c r="I62" s="53"/>
      <c r="J62" s="54"/>
      <c r="K62" s="52"/>
      <c r="L62" s="53"/>
      <c r="M62" s="53"/>
      <c r="N62" s="53"/>
      <c r="O62" s="53"/>
      <c r="P62" s="53"/>
      <c r="Q62" s="54"/>
      <c r="R62" s="52"/>
      <c r="S62" s="53"/>
      <c r="T62" s="53"/>
      <c r="U62" s="53"/>
      <c r="V62" s="53"/>
      <c r="W62" s="53"/>
      <c r="X62" s="54"/>
      <c r="Y62" s="52"/>
      <c r="Z62" s="53"/>
      <c r="AA62" s="53"/>
      <c r="AB62" s="53"/>
      <c r="AC62" s="53"/>
      <c r="AD62" s="53"/>
      <c r="AE62" s="54"/>
      <c r="AF62" s="50"/>
      <c r="AG62" s="55"/>
      <c r="AH62" s="55"/>
      <c r="AI62" s="55"/>
      <c r="AJ62" s="51"/>
      <c r="AK62" s="136"/>
      <c r="AL62" s="137"/>
    </row>
    <row r="63" spans="2:42" x14ac:dyDescent="0.3">
      <c r="B63" s="50"/>
      <c r="C63" s="51"/>
      <c r="D63" s="56" t="b">
        <v>1</v>
      </c>
      <c r="E63" s="131" t="s">
        <v>35</v>
      </c>
      <c r="F63" s="131"/>
      <c r="G63" s="131"/>
      <c r="H63" s="131"/>
      <c r="I63" s="131"/>
      <c r="J63" s="51"/>
      <c r="K63" s="56" t="b">
        <v>1</v>
      </c>
      <c r="L63" s="131" t="s">
        <v>35</v>
      </c>
      <c r="M63" s="131"/>
      <c r="N63" s="131"/>
      <c r="O63" s="131"/>
      <c r="P63" s="131"/>
      <c r="Q63" s="51"/>
      <c r="R63" s="56" t="b">
        <v>1</v>
      </c>
      <c r="S63" s="131" t="s">
        <v>35</v>
      </c>
      <c r="T63" s="131"/>
      <c r="U63" s="131"/>
      <c r="V63" s="131"/>
      <c r="W63" s="131"/>
      <c r="X63" s="51"/>
      <c r="Y63" s="56" t="b">
        <v>1</v>
      </c>
      <c r="Z63" s="131" t="s">
        <v>35</v>
      </c>
      <c r="AA63" s="131"/>
      <c r="AB63" s="131"/>
      <c r="AC63" s="131"/>
      <c r="AD63" s="131"/>
      <c r="AE63" s="51"/>
      <c r="AF63" s="57" t="b">
        <v>1</v>
      </c>
      <c r="AG63" s="131" t="s">
        <v>35</v>
      </c>
      <c r="AH63" s="131"/>
      <c r="AI63" s="131"/>
      <c r="AJ63" s="51"/>
      <c r="AK63" s="138"/>
      <c r="AL63" s="139"/>
    </row>
    <row r="64" spans="2:42" x14ac:dyDescent="0.3">
      <c r="B64" s="50"/>
      <c r="C64" s="51"/>
      <c r="D64" s="56" t="b">
        <v>1</v>
      </c>
      <c r="E64" s="131" t="s">
        <v>36</v>
      </c>
      <c r="F64" s="131"/>
      <c r="G64" s="131"/>
      <c r="H64" s="131"/>
      <c r="I64" s="131"/>
      <c r="J64" s="51"/>
      <c r="K64" s="56" t="b">
        <v>1</v>
      </c>
      <c r="L64" s="131" t="s">
        <v>36</v>
      </c>
      <c r="M64" s="131"/>
      <c r="N64" s="131"/>
      <c r="O64" s="131"/>
      <c r="P64" s="131"/>
      <c r="Q64" s="51"/>
      <c r="R64" s="56" t="b">
        <v>1</v>
      </c>
      <c r="S64" s="131" t="s">
        <v>36</v>
      </c>
      <c r="T64" s="131"/>
      <c r="U64" s="131"/>
      <c r="V64" s="131"/>
      <c r="W64" s="131"/>
      <c r="X64" s="51"/>
      <c r="Y64" s="56" t="b">
        <v>1</v>
      </c>
      <c r="Z64" s="132" t="s">
        <v>36</v>
      </c>
      <c r="AA64" s="132"/>
      <c r="AB64" s="132"/>
      <c r="AC64" s="132"/>
      <c r="AD64" s="132"/>
      <c r="AE64" s="51"/>
      <c r="AF64" s="57" t="b">
        <v>1</v>
      </c>
      <c r="AG64" s="131" t="s">
        <v>36</v>
      </c>
      <c r="AH64" s="131"/>
      <c r="AI64" s="131"/>
      <c r="AJ64" s="51"/>
      <c r="AK64" s="138"/>
      <c r="AL64" s="139"/>
    </row>
    <row r="65" spans="2:38" x14ac:dyDescent="0.3">
      <c r="B65" s="133">
        <f>C76</f>
        <v>0.85333333333333339</v>
      </c>
      <c r="C65" s="134"/>
      <c r="D65" s="56" t="b">
        <v>1</v>
      </c>
      <c r="E65" s="131" t="s">
        <v>37</v>
      </c>
      <c r="F65" s="131"/>
      <c r="G65" s="131"/>
      <c r="H65" s="131"/>
      <c r="I65" s="131"/>
      <c r="J65" s="51"/>
      <c r="K65" s="56" t="b">
        <v>1</v>
      </c>
      <c r="L65" s="131" t="s">
        <v>37</v>
      </c>
      <c r="M65" s="131"/>
      <c r="N65" s="131"/>
      <c r="O65" s="131"/>
      <c r="P65" s="131"/>
      <c r="Q65" s="51"/>
      <c r="R65" s="56" t="b">
        <v>1</v>
      </c>
      <c r="S65" s="131" t="s">
        <v>37</v>
      </c>
      <c r="T65" s="131"/>
      <c r="U65" s="131"/>
      <c r="V65" s="131"/>
      <c r="W65" s="131"/>
      <c r="X65" s="51"/>
      <c r="Y65" s="56" t="b">
        <v>1</v>
      </c>
      <c r="Z65" s="131" t="s">
        <v>37</v>
      </c>
      <c r="AA65" s="131"/>
      <c r="AB65" s="131"/>
      <c r="AC65" s="131"/>
      <c r="AD65" s="131"/>
      <c r="AE65" s="51"/>
      <c r="AF65" s="57" t="b">
        <v>1</v>
      </c>
      <c r="AG65" s="131" t="s">
        <v>37</v>
      </c>
      <c r="AH65" s="131"/>
      <c r="AI65" s="131"/>
      <c r="AJ65" s="51"/>
      <c r="AK65" s="138"/>
      <c r="AL65" s="139"/>
    </row>
    <row r="66" spans="2:38" x14ac:dyDescent="0.3">
      <c r="B66" s="135"/>
      <c r="C66" s="134"/>
      <c r="D66" s="56" t="b">
        <v>1</v>
      </c>
      <c r="E66" s="131" t="s">
        <v>38</v>
      </c>
      <c r="F66" s="131"/>
      <c r="G66" s="131"/>
      <c r="H66" s="131"/>
      <c r="I66" s="131"/>
      <c r="J66" s="51"/>
      <c r="K66" s="56" t="b">
        <v>1</v>
      </c>
      <c r="L66" s="131" t="s">
        <v>38</v>
      </c>
      <c r="M66" s="131"/>
      <c r="N66" s="131"/>
      <c r="O66" s="131"/>
      <c r="P66" s="131"/>
      <c r="Q66" s="51"/>
      <c r="R66" s="56" t="b">
        <v>1</v>
      </c>
      <c r="S66" s="131" t="s">
        <v>38</v>
      </c>
      <c r="T66" s="131"/>
      <c r="U66" s="131"/>
      <c r="V66" s="131"/>
      <c r="W66" s="131"/>
      <c r="X66" s="51"/>
      <c r="Y66" s="56" t="b">
        <v>1</v>
      </c>
      <c r="Z66" s="132" t="s">
        <v>38</v>
      </c>
      <c r="AA66" s="132"/>
      <c r="AB66" s="132"/>
      <c r="AC66" s="132"/>
      <c r="AD66" s="132"/>
      <c r="AE66" s="51"/>
      <c r="AF66" s="57" t="b">
        <v>1</v>
      </c>
      <c r="AG66" s="131" t="s">
        <v>38</v>
      </c>
      <c r="AH66" s="131"/>
      <c r="AI66" s="131"/>
      <c r="AJ66" s="51"/>
      <c r="AK66" s="138"/>
      <c r="AL66" s="139"/>
    </row>
    <row r="67" spans="2:38" x14ac:dyDescent="0.3">
      <c r="B67" s="135"/>
      <c r="C67" s="134"/>
      <c r="D67" s="56" t="b">
        <v>1</v>
      </c>
      <c r="E67" s="131" t="s">
        <v>39</v>
      </c>
      <c r="F67" s="131"/>
      <c r="G67" s="131"/>
      <c r="H67" s="131"/>
      <c r="I67" s="131"/>
      <c r="J67" s="51"/>
      <c r="K67" s="56" t="b">
        <v>1</v>
      </c>
      <c r="L67" s="131" t="s">
        <v>39</v>
      </c>
      <c r="M67" s="131"/>
      <c r="N67" s="131"/>
      <c r="O67" s="131"/>
      <c r="P67" s="131"/>
      <c r="Q67" s="51"/>
      <c r="R67" s="56" t="b">
        <v>1</v>
      </c>
      <c r="S67" s="131" t="s">
        <v>39</v>
      </c>
      <c r="T67" s="131"/>
      <c r="U67" s="131"/>
      <c r="V67" s="131"/>
      <c r="W67" s="131"/>
      <c r="X67" s="51"/>
      <c r="Y67" s="56" t="b">
        <v>1</v>
      </c>
      <c r="Z67" s="131" t="s">
        <v>39</v>
      </c>
      <c r="AA67" s="131"/>
      <c r="AB67" s="131"/>
      <c r="AC67" s="131"/>
      <c r="AD67" s="131"/>
      <c r="AE67" s="51"/>
      <c r="AF67" s="57" t="b">
        <v>1</v>
      </c>
      <c r="AG67" s="131" t="s">
        <v>39</v>
      </c>
      <c r="AH67" s="131"/>
      <c r="AI67" s="131"/>
      <c r="AJ67" s="51"/>
      <c r="AK67" s="138"/>
      <c r="AL67" s="139"/>
    </row>
    <row r="68" spans="2:38" x14ac:dyDescent="0.3">
      <c r="B68" s="135"/>
      <c r="C68" s="134"/>
      <c r="D68" s="56" t="b">
        <v>1</v>
      </c>
      <c r="E68" s="131" t="s">
        <v>40</v>
      </c>
      <c r="F68" s="131"/>
      <c r="G68" s="131"/>
      <c r="H68" s="131"/>
      <c r="I68" s="131"/>
      <c r="J68" s="51"/>
      <c r="K68" s="56" t="b">
        <v>1</v>
      </c>
      <c r="L68" s="131" t="s">
        <v>40</v>
      </c>
      <c r="M68" s="131"/>
      <c r="N68" s="131"/>
      <c r="O68" s="131"/>
      <c r="P68" s="131"/>
      <c r="Q68" s="51"/>
      <c r="R68" s="56" t="b">
        <v>1</v>
      </c>
      <c r="S68" s="131" t="s">
        <v>40</v>
      </c>
      <c r="T68" s="131"/>
      <c r="U68" s="131"/>
      <c r="V68" s="131"/>
      <c r="W68" s="131"/>
      <c r="X68" s="51"/>
      <c r="Y68" s="56" t="b">
        <v>0</v>
      </c>
      <c r="Z68" s="132" t="s">
        <v>40</v>
      </c>
      <c r="AA68" s="132"/>
      <c r="AB68" s="132"/>
      <c r="AC68" s="132"/>
      <c r="AD68" s="132"/>
      <c r="AE68" s="51"/>
      <c r="AF68" s="57" t="b">
        <v>1</v>
      </c>
      <c r="AG68" s="131" t="s">
        <v>40</v>
      </c>
      <c r="AH68" s="131"/>
      <c r="AI68" s="131"/>
      <c r="AJ68" s="51"/>
      <c r="AK68" s="138"/>
      <c r="AL68" s="139"/>
    </row>
    <row r="69" spans="2:38" x14ac:dyDescent="0.3">
      <c r="B69" s="50"/>
      <c r="C69" s="51"/>
      <c r="D69" s="56" t="b">
        <v>1</v>
      </c>
      <c r="E69" s="131" t="s">
        <v>41</v>
      </c>
      <c r="F69" s="131"/>
      <c r="G69" s="131"/>
      <c r="H69" s="131"/>
      <c r="I69" s="131"/>
      <c r="J69" s="51"/>
      <c r="K69" s="56" t="b">
        <v>1</v>
      </c>
      <c r="L69" s="131" t="s">
        <v>41</v>
      </c>
      <c r="M69" s="131"/>
      <c r="N69" s="131"/>
      <c r="O69" s="131"/>
      <c r="P69" s="131"/>
      <c r="Q69" s="51"/>
      <c r="R69" s="56" t="b">
        <v>1</v>
      </c>
      <c r="S69" s="131" t="s">
        <v>41</v>
      </c>
      <c r="T69" s="131"/>
      <c r="U69" s="131"/>
      <c r="V69" s="131"/>
      <c r="W69" s="131"/>
      <c r="X69" s="51"/>
      <c r="Y69" s="56" t="b">
        <v>1</v>
      </c>
      <c r="Z69" s="131" t="s">
        <v>41</v>
      </c>
      <c r="AA69" s="131"/>
      <c r="AB69" s="131"/>
      <c r="AC69" s="131"/>
      <c r="AD69" s="131"/>
      <c r="AE69" s="51"/>
      <c r="AF69" s="57" t="b">
        <v>1</v>
      </c>
      <c r="AG69" s="131" t="s">
        <v>41</v>
      </c>
      <c r="AH69" s="131"/>
      <c r="AI69" s="131"/>
      <c r="AJ69" s="51"/>
      <c r="AK69" s="138"/>
      <c r="AL69" s="139"/>
    </row>
    <row r="70" spans="2:38" x14ac:dyDescent="0.3">
      <c r="B70" s="50"/>
      <c r="C70" s="51"/>
      <c r="D70" s="56" t="b">
        <v>1</v>
      </c>
      <c r="E70" s="131" t="s">
        <v>42</v>
      </c>
      <c r="F70" s="131"/>
      <c r="G70" s="131"/>
      <c r="H70" s="131"/>
      <c r="I70" s="131"/>
      <c r="J70" s="51"/>
      <c r="K70" s="56" t="b">
        <v>1</v>
      </c>
      <c r="L70" s="131" t="s">
        <v>42</v>
      </c>
      <c r="M70" s="131"/>
      <c r="N70" s="131"/>
      <c r="O70" s="131"/>
      <c r="P70" s="131"/>
      <c r="Q70" s="51"/>
      <c r="R70" s="56" t="b">
        <v>1</v>
      </c>
      <c r="S70" s="131" t="s">
        <v>42</v>
      </c>
      <c r="T70" s="131"/>
      <c r="U70" s="131"/>
      <c r="V70" s="131"/>
      <c r="W70" s="131"/>
      <c r="X70" s="51"/>
      <c r="Y70" s="56" t="b">
        <v>1</v>
      </c>
      <c r="Z70" s="132" t="s">
        <v>42</v>
      </c>
      <c r="AA70" s="132"/>
      <c r="AB70" s="132"/>
      <c r="AC70" s="132"/>
      <c r="AD70" s="132"/>
      <c r="AE70" s="51"/>
      <c r="AF70" s="57" t="b">
        <v>1</v>
      </c>
      <c r="AG70" s="131" t="s">
        <v>42</v>
      </c>
      <c r="AH70" s="131"/>
      <c r="AI70" s="131"/>
      <c r="AJ70" s="51"/>
      <c r="AK70" s="138"/>
      <c r="AL70" s="139"/>
    </row>
    <row r="71" spans="2:38" x14ac:dyDescent="0.3">
      <c r="B71" s="62"/>
      <c r="C71" s="58"/>
      <c r="D71" s="56" t="b">
        <v>1</v>
      </c>
      <c r="E71" s="131" t="s">
        <v>43</v>
      </c>
      <c r="F71" s="131"/>
      <c r="G71" s="131"/>
      <c r="H71" s="131"/>
      <c r="I71" s="131"/>
      <c r="J71" s="51"/>
      <c r="K71" s="56" t="b">
        <v>1</v>
      </c>
      <c r="L71" s="131" t="s">
        <v>43</v>
      </c>
      <c r="M71" s="131"/>
      <c r="N71" s="131"/>
      <c r="O71" s="131"/>
      <c r="P71" s="131"/>
      <c r="Q71" s="51"/>
      <c r="R71" s="56" t="b">
        <v>1</v>
      </c>
      <c r="S71" s="131" t="s">
        <v>43</v>
      </c>
      <c r="T71" s="131"/>
      <c r="U71" s="131"/>
      <c r="V71" s="131"/>
      <c r="W71" s="131"/>
      <c r="X71" s="51"/>
      <c r="Y71" s="56" t="b">
        <v>1</v>
      </c>
      <c r="Z71" s="131" t="s">
        <v>43</v>
      </c>
      <c r="AA71" s="131"/>
      <c r="AB71" s="131"/>
      <c r="AC71" s="131"/>
      <c r="AD71" s="131"/>
      <c r="AE71" s="51"/>
      <c r="AF71" s="57" t="b">
        <v>1</v>
      </c>
      <c r="AG71" s="131" t="s">
        <v>43</v>
      </c>
      <c r="AH71" s="131"/>
      <c r="AI71" s="131"/>
      <c r="AJ71" s="51"/>
      <c r="AK71" s="138"/>
      <c r="AL71" s="139"/>
    </row>
    <row r="72" spans="2:38" x14ac:dyDescent="0.3">
      <c r="B72" s="62"/>
      <c r="C72" s="58"/>
      <c r="D72" s="56" t="b">
        <v>1</v>
      </c>
      <c r="E72" s="131" t="s">
        <v>44</v>
      </c>
      <c r="F72" s="131"/>
      <c r="G72" s="131"/>
      <c r="H72" s="131"/>
      <c r="I72" s="131"/>
      <c r="J72" s="51"/>
      <c r="K72" s="56" t="b">
        <v>1</v>
      </c>
      <c r="L72" s="131" t="s">
        <v>44</v>
      </c>
      <c r="M72" s="131"/>
      <c r="N72" s="131"/>
      <c r="O72" s="131"/>
      <c r="P72" s="131"/>
      <c r="Q72" s="51"/>
      <c r="R72" s="56" t="b">
        <v>1</v>
      </c>
      <c r="S72" s="131" t="s">
        <v>44</v>
      </c>
      <c r="T72" s="131"/>
      <c r="U72" s="131"/>
      <c r="V72" s="131"/>
      <c r="W72" s="131"/>
      <c r="X72" s="51"/>
      <c r="Y72" s="56" t="b">
        <v>1</v>
      </c>
      <c r="Z72" s="132" t="s">
        <v>44</v>
      </c>
      <c r="AA72" s="132"/>
      <c r="AB72" s="132"/>
      <c r="AC72" s="132"/>
      <c r="AD72" s="132"/>
      <c r="AE72" s="51"/>
      <c r="AF72" s="57" t="b">
        <v>1</v>
      </c>
      <c r="AG72" s="131" t="s">
        <v>44</v>
      </c>
      <c r="AH72" s="131"/>
      <c r="AI72" s="131"/>
      <c r="AJ72" s="51"/>
      <c r="AK72" s="138"/>
      <c r="AL72" s="139"/>
    </row>
    <row r="73" spans="2:38" x14ac:dyDescent="0.3">
      <c r="B73" s="66" t="s">
        <v>33</v>
      </c>
      <c r="C73" s="63">
        <f>C74+C75</f>
        <v>75</v>
      </c>
      <c r="D73" s="56" t="b">
        <v>1</v>
      </c>
      <c r="E73" s="131" t="s">
        <v>45</v>
      </c>
      <c r="F73" s="131"/>
      <c r="G73" s="131"/>
      <c r="H73" s="131"/>
      <c r="I73" s="131"/>
      <c r="J73" s="51"/>
      <c r="K73" s="56" t="b">
        <v>1</v>
      </c>
      <c r="L73" s="131" t="s">
        <v>45</v>
      </c>
      <c r="M73" s="131"/>
      <c r="N73" s="131"/>
      <c r="O73" s="131"/>
      <c r="P73" s="131"/>
      <c r="Q73" s="51"/>
      <c r="R73" s="56" t="b">
        <v>0</v>
      </c>
      <c r="S73" s="131" t="s">
        <v>45</v>
      </c>
      <c r="T73" s="131"/>
      <c r="U73" s="131"/>
      <c r="V73" s="131"/>
      <c r="W73" s="131"/>
      <c r="X73" s="51"/>
      <c r="Y73" s="56" t="b">
        <v>1</v>
      </c>
      <c r="Z73" s="131" t="s">
        <v>45</v>
      </c>
      <c r="AA73" s="131"/>
      <c r="AB73" s="131"/>
      <c r="AC73" s="131"/>
      <c r="AD73" s="131"/>
      <c r="AE73" s="51"/>
      <c r="AF73" s="57" t="b">
        <v>1</v>
      </c>
      <c r="AG73" s="131" t="s">
        <v>45</v>
      </c>
      <c r="AH73" s="131"/>
      <c r="AI73" s="131"/>
      <c r="AJ73" s="51"/>
      <c r="AK73" s="138"/>
      <c r="AL73" s="139"/>
    </row>
    <row r="74" spans="2:38" x14ac:dyDescent="0.3">
      <c r="B74" s="66" t="s">
        <v>28</v>
      </c>
      <c r="C74" s="64">
        <f>COUNTIFS(D63:D77,TRUE,E63:E77,"&lt;&gt;")+COUNTIFS(K63:K77,TRUE,L63:L77,"&lt;&gt;")+COUNTIFS(R63:R77,TRUE,S63:S77,"&lt;&gt;")+COUNTIFS(Y63:Y77,TRUE,Z63:Z77,"&lt;&gt;")+COUNTIFS(AF63:AF77,TRUE,AG63:AG77,"&lt;&gt;")</f>
        <v>64</v>
      </c>
      <c r="D74" s="56" t="b">
        <v>1</v>
      </c>
      <c r="E74" s="131" t="s">
        <v>46</v>
      </c>
      <c r="F74" s="131"/>
      <c r="G74" s="131"/>
      <c r="H74" s="131"/>
      <c r="I74" s="131"/>
      <c r="J74" s="51"/>
      <c r="K74" s="56" t="b">
        <v>1</v>
      </c>
      <c r="L74" s="131" t="s">
        <v>46</v>
      </c>
      <c r="M74" s="131"/>
      <c r="N74" s="131"/>
      <c r="O74" s="131"/>
      <c r="P74" s="131"/>
      <c r="Q74" s="51"/>
      <c r="R74" s="56" t="b">
        <v>0</v>
      </c>
      <c r="S74" s="131" t="s">
        <v>46</v>
      </c>
      <c r="T74" s="131"/>
      <c r="U74" s="131"/>
      <c r="V74" s="131"/>
      <c r="W74" s="131"/>
      <c r="X74" s="51"/>
      <c r="Y74" s="56" t="b">
        <v>1</v>
      </c>
      <c r="Z74" s="132" t="s">
        <v>46</v>
      </c>
      <c r="AA74" s="132"/>
      <c r="AB74" s="132"/>
      <c r="AC74" s="132"/>
      <c r="AD74" s="132"/>
      <c r="AE74" s="51"/>
      <c r="AF74" s="57" t="b">
        <v>1</v>
      </c>
      <c r="AG74" s="131" t="s">
        <v>46</v>
      </c>
      <c r="AH74" s="131"/>
      <c r="AI74" s="131"/>
      <c r="AJ74" s="51"/>
      <c r="AK74" s="138"/>
      <c r="AL74" s="139"/>
    </row>
    <row r="75" spans="2:38" x14ac:dyDescent="0.3">
      <c r="B75" s="66" t="s">
        <v>29</v>
      </c>
      <c r="C75" s="63">
        <f>COUNTIFS(D63:D77,FALSE,E63:E77,"&lt;&gt;")+COUNTIFS(K63:K77,FALSE,L63:L77,"&lt;&gt;")+COUNTIFS(R63:R77,FALSE,S63:S77,"&lt;&gt;")+COUNTIFS(Y63:Y77,FALSE,Z63:Z77,"&lt;&gt;")+COUNTIFS(AF63:AF77,FALSE,AG63:AG77,"&lt;&gt;")</f>
        <v>11</v>
      </c>
      <c r="D75" s="56" t="b">
        <v>1</v>
      </c>
      <c r="E75" s="131" t="s">
        <v>47</v>
      </c>
      <c r="F75" s="131"/>
      <c r="G75" s="131"/>
      <c r="H75" s="131"/>
      <c r="I75" s="131"/>
      <c r="J75" s="51"/>
      <c r="K75" s="56" t="b">
        <v>1</v>
      </c>
      <c r="L75" s="131" t="s">
        <v>47</v>
      </c>
      <c r="M75" s="131"/>
      <c r="N75" s="131"/>
      <c r="O75" s="131"/>
      <c r="P75" s="131"/>
      <c r="Q75" s="51"/>
      <c r="R75" s="56" t="b">
        <v>0</v>
      </c>
      <c r="S75" s="131" t="s">
        <v>47</v>
      </c>
      <c r="T75" s="131"/>
      <c r="U75" s="131"/>
      <c r="V75" s="131"/>
      <c r="W75" s="131"/>
      <c r="X75" s="51"/>
      <c r="Y75" s="56" t="b">
        <v>0</v>
      </c>
      <c r="Z75" s="131" t="s">
        <v>47</v>
      </c>
      <c r="AA75" s="131"/>
      <c r="AB75" s="131"/>
      <c r="AC75" s="131"/>
      <c r="AD75" s="131"/>
      <c r="AE75" s="51"/>
      <c r="AF75" s="57" t="b">
        <v>1</v>
      </c>
      <c r="AG75" s="131" t="s">
        <v>47</v>
      </c>
      <c r="AH75" s="131"/>
      <c r="AI75" s="131"/>
      <c r="AJ75" s="51"/>
      <c r="AK75" s="138"/>
      <c r="AL75" s="139"/>
    </row>
    <row r="76" spans="2:38" x14ac:dyDescent="0.3">
      <c r="B76" s="66" t="s">
        <v>30</v>
      </c>
      <c r="C76" s="65">
        <f>C74/C73</f>
        <v>0.85333333333333339</v>
      </c>
      <c r="D76" s="56" t="b">
        <v>1</v>
      </c>
      <c r="E76" s="131" t="s">
        <v>48</v>
      </c>
      <c r="F76" s="131"/>
      <c r="G76" s="131"/>
      <c r="H76" s="131"/>
      <c r="I76" s="131"/>
      <c r="J76" s="51"/>
      <c r="K76" s="56" t="b">
        <v>1</v>
      </c>
      <c r="L76" s="131" t="s">
        <v>48</v>
      </c>
      <c r="M76" s="131"/>
      <c r="N76" s="131"/>
      <c r="O76" s="131"/>
      <c r="P76" s="131"/>
      <c r="Q76" s="51"/>
      <c r="R76" s="56" t="b">
        <v>0</v>
      </c>
      <c r="S76" s="131" t="s">
        <v>48</v>
      </c>
      <c r="T76" s="131"/>
      <c r="U76" s="131"/>
      <c r="V76" s="131"/>
      <c r="W76" s="131"/>
      <c r="X76" s="51"/>
      <c r="Y76" s="56" t="b">
        <v>0</v>
      </c>
      <c r="Z76" s="132" t="s">
        <v>48</v>
      </c>
      <c r="AA76" s="132"/>
      <c r="AB76" s="132"/>
      <c r="AC76" s="132"/>
      <c r="AD76" s="132"/>
      <c r="AE76" s="51"/>
      <c r="AF76" s="57" t="b">
        <v>1</v>
      </c>
      <c r="AG76" s="131" t="s">
        <v>48</v>
      </c>
      <c r="AH76" s="131"/>
      <c r="AI76" s="131"/>
      <c r="AJ76" s="51"/>
      <c r="AK76" s="138"/>
      <c r="AL76" s="139"/>
    </row>
    <row r="77" spans="2:38" x14ac:dyDescent="0.3">
      <c r="B77" s="67"/>
      <c r="C77" s="51"/>
      <c r="D77" s="56" t="b">
        <v>1</v>
      </c>
      <c r="E77" s="131" t="s">
        <v>49</v>
      </c>
      <c r="F77" s="131"/>
      <c r="G77" s="131"/>
      <c r="H77" s="131"/>
      <c r="I77" s="131"/>
      <c r="J77" s="51"/>
      <c r="K77" s="56" t="b">
        <v>0</v>
      </c>
      <c r="L77" s="131" t="s">
        <v>49</v>
      </c>
      <c r="M77" s="131"/>
      <c r="N77" s="131"/>
      <c r="O77" s="131"/>
      <c r="P77" s="131"/>
      <c r="Q77" s="51"/>
      <c r="R77" s="56" t="b">
        <v>0</v>
      </c>
      <c r="S77" s="131" t="s">
        <v>49</v>
      </c>
      <c r="T77" s="131"/>
      <c r="U77" s="131"/>
      <c r="V77" s="131"/>
      <c r="W77" s="131"/>
      <c r="X77" s="51"/>
      <c r="Y77" s="56" t="b">
        <v>0</v>
      </c>
      <c r="Z77" s="131" t="s">
        <v>49</v>
      </c>
      <c r="AA77" s="131"/>
      <c r="AB77" s="131"/>
      <c r="AC77" s="131"/>
      <c r="AD77" s="131"/>
      <c r="AE77" s="51"/>
      <c r="AF77" s="57" t="b">
        <v>0</v>
      </c>
      <c r="AG77" s="131" t="s">
        <v>49</v>
      </c>
      <c r="AH77" s="131"/>
      <c r="AI77" s="131"/>
      <c r="AJ77" s="51"/>
      <c r="AK77" s="138"/>
      <c r="AL77" s="139"/>
    </row>
    <row r="78" spans="2:38" ht="15" thickBot="1" x14ac:dyDescent="0.35">
      <c r="B78" s="59"/>
      <c r="C78" s="60"/>
      <c r="D78" s="59"/>
      <c r="E78" s="61"/>
      <c r="F78" s="61"/>
      <c r="G78" s="61"/>
      <c r="H78" s="61"/>
      <c r="I78" s="61"/>
      <c r="J78" s="60"/>
      <c r="K78" s="59"/>
      <c r="L78" s="61"/>
      <c r="M78" s="61"/>
      <c r="N78" s="61"/>
      <c r="O78" s="61"/>
      <c r="P78" s="61"/>
      <c r="Q78" s="60"/>
      <c r="R78" s="59"/>
      <c r="S78" s="61"/>
      <c r="T78" s="61"/>
      <c r="U78" s="61"/>
      <c r="V78" s="61"/>
      <c r="W78" s="61"/>
      <c r="X78" s="60"/>
      <c r="Y78" s="59"/>
      <c r="Z78" s="61"/>
      <c r="AA78" s="61"/>
      <c r="AB78" s="61"/>
      <c r="AC78" s="61"/>
      <c r="AD78" s="61"/>
      <c r="AE78" s="60"/>
      <c r="AF78" s="59"/>
      <c r="AG78" s="61"/>
      <c r="AH78" s="61"/>
      <c r="AI78" s="61"/>
      <c r="AJ78" s="60"/>
      <c r="AK78" s="140"/>
      <c r="AL78" s="141"/>
    </row>
    <row r="79" spans="2:38" ht="15" thickTop="1" x14ac:dyDescent="0.3"/>
    <row r="80" spans="2:38" ht="15" thickBot="1" x14ac:dyDescent="0.35"/>
    <row r="81" spans="2:38" ht="19.2" thickTop="1" thickBot="1" x14ac:dyDescent="0.35">
      <c r="B81" s="162" t="s">
        <v>34</v>
      </c>
      <c r="C81" s="163"/>
      <c r="D81" s="166" t="s">
        <v>23</v>
      </c>
      <c r="E81" s="167"/>
      <c r="F81" s="167"/>
      <c r="G81" s="167"/>
      <c r="H81" s="167"/>
      <c r="I81" s="167"/>
      <c r="J81" s="168"/>
      <c r="K81" s="169" t="s">
        <v>24</v>
      </c>
      <c r="L81" s="170"/>
      <c r="M81" s="170"/>
      <c r="N81" s="170"/>
      <c r="O81" s="170"/>
      <c r="P81" s="170"/>
      <c r="Q81" s="171"/>
      <c r="R81" s="172" t="s">
        <v>25</v>
      </c>
      <c r="S81" s="173"/>
      <c r="T81" s="173"/>
      <c r="U81" s="173"/>
      <c r="V81" s="173"/>
      <c r="W81" s="173"/>
      <c r="X81" s="174"/>
      <c r="Y81" s="175" t="s">
        <v>26</v>
      </c>
      <c r="Z81" s="176"/>
      <c r="AA81" s="176"/>
      <c r="AB81" s="176"/>
      <c r="AC81" s="176"/>
      <c r="AD81" s="176"/>
      <c r="AE81" s="177"/>
      <c r="AF81" s="178" t="s">
        <v>27</v>
      </c>
      <c r="AG81" s="179"/>
      <c r="AH81" s="179"/>
      <c r="AI81" s="179"/>
      <c r="AJ81" s="180"/>
      <c r="AK81" s="158" t="str">
        <f>"You have completed "&amp;C95&amp;" weekly goals"</f>
        <v>You have completed 65 weekly goals</v>
      </c>
      <c r="AL81" s="159"/>
    </row>
    <row r="82" spans="2:38" ht="19.2" thickTop="1" thickBot="1" x14ac:dyDescent="0.35">
      <c r="B82" s="164"/>
      <c r="C82" s="165"/>
      <c r="D82" s="181">
        <f>IFERROR(COUNTIFS(D84:D98,TRUE,E84:E98,"&lt;&gt;")/COUNTIF(E84:E98,"&lt;&gt;"),"")</f>
        <v>0.66666666666666663</v>
      </c>
      <c r="E82" s="182"/>
      <c r="F82" s="182"/>
      <c r="G82" s="182"/>
      <c r="H82" s="182"/>
      <c r="I82" s="182"/>
      <c r="J82" s="183"/>
      <c r="K82" s="184">
        <f>IFERROR(COUNTIFS(D84:D98,TRUE,E84:E98,"&lt;&gt;")/COUNTIF(E84:E98,"&lt;&gt;"),"")</f>
        <v>0.66666666666666663</v>
      </c>
      <c r="L82" s="185"/>
      <c r="M82" s="185"/>
      <c r="N82" s="185"/>
      <c r="O82" s="185"/>
      <c r="P82" s="185"/>
      <c r="Q82" s="186"/>
      <c r="R82" s="187">
        <f>IFERROR(COUNTIFS(D84:D98,TRUE,E84:E98,"&lt;&gt;")/COUNTIF(E84:E98,"&lt;&gt;"),"")</f>
        <v>0.66666666666666663</v>
      </c>
      <c r="S82" s="188"/>
      <c r="T82" s="188"/>
      <c r="U82" s="188"/>
      <c r="V82" s="188"/>
      <c r="W82" s="188"/>
      <c r="X82" s="189"/>
      <c r="Y82" s="190">
        <f>IFERROR(COUNTIFS(D84:D98,TRUE,E84:E98,"&lt;&gt;")/COUNTIF(E84:E98,"&lt;&gt;"),"")</f>
        <v>0.66666666666666663</v>
      </c>
      <c r="Z82" s="191"/>
      <c r="AA82" s="191"/>
      <c r="AB82" s="191"/>
      <c r="AC82" s="191"/>
      <c r="AD82" s="191"/>
      <c r="AE82" s="192"/>
      <c r="AF82" s="193">
        <f>IFERROR(COUNTIFS(D84:D98,TRUE,E84:E98,"&lt;&gt;")/COUNTIF(E84:E98,"&lt;&gt;"),"")</f>
        <v>0.66666666666666663</v>
      </c>
      <c r="AG82" s="194"/>
      <c r="AH82" s="194"/>
      <c r="AI82" s="194"/>
      <c r="AJ82" s="195"/>
      <c r="AK82" s="160"/>
      <c r="AL82" s="161"/>
    </row>
    <row r="83" spans="2:38" ht="15" thickTop="1" x14ac:dyDescent="0.3">
      <c r="B83" s="50"/>
      <c r="C83" s="51"/>
      <c r="D83" s="52"/>
      <c r="E83" s="53"/>
      <c r="F83" s="53"/>
      <c r="G83" s="53"/>
      <c r="H83" s="53"/>
      <c r="I83" s="53"/>
      <c r="J83" s="54"/>
      <c r="K83" s="52"/>
      <c r="L83" s="53"/>
      <c r="M83" s="53"/>
      <c r="N83" s="53"/>
      <c r="O83" s="53"/>
      <c r="P83" s="53"/>
      <c r="Q83" s="54"/>
      <c r="R83" s="52"/>
      <c r="S83" s="53"/>
      <c r="T83" s="53"/>
      <c r="U83" s="53"/>
      <c r="V83" s="53"/>
      <c r="W83" s="53"/>
      <c r="X83" s="54"/>
      <c r="Y83" s="52"/>
      <c r="Z83" s="53"/>
      <c r="AA83" s="53"/>
      <c r="AB83" s="53"/>
      <c r="AC83" s="53"/>
      <c r="AD83" s="53"/>
      <c r="AE83" s="54"/>
      <c r="AF83" s="50"/>
      <c r="AG83" s="55"/>
      <c r="AH83" s="55"/>
      <c r="AI83" s="55"/>
      <c r="AJ83" s="51"/>
      <c r="AK83" s="136"/>
      <c r="AL83" s="137"/>
    </row>
    <row r="84" spans="2:38" x14ac:dyDescent="0.3">
      <c r="B84" s="50"/>
      <c r="C84" s="51"/>
      <c r="D84" s="56" t="b">
        <v>1</v>
      </c>
      <c r="E84" s="131" t="s">
        <v>35</v>
      </c>
      <c r="F84" s="131"/>
      <c r="G84" s="131"/>
      <c r="H84" s="131"/>
      <c r="I84" s="131"/>
      <c r="J84" s="51"/>
      <c r="K84" s="56" t="b">
        <v>0</v>
      </c>
      <c r="L84" s="131" t="s">
        <v>35</v>
      </c>
      <c r="M84" s="131"/>
      <c r="N84" s="131"/>
      <c r="O84" s="131"/>
      <c r="P84" s="131"/>
      <c r="Q84" s="51"/>
      <c r="R84" s="56" t="b">
        <v>1</v>
      </c>
      <c r="S84" s="131" t="s">
        <v>35</v>
      </c>
      <c r="T84" s="131"/>
      <c r="U84" s="131"/>
      <c r="V84" s="131"/>
      <c r="W84" s="131"/>
      <c r="X84" s="51"/>
      <c r="Y84" s="56" t="b">
        <v>1</v>
      </c>
      <c r="Z84" s="131" t="s">
        <v>35</v>
      </c>
      <c r="AA84" s="131"/>
      <c r="AB84" s="131"/>
      <c r="AC84" s="131"/>
      <c r="AD84" s="131"/>
      <c r="AE84" s="51"/>
      <c r="AF84" s="57" t="b">
        <v>1</v>
      </c>
      <c r="AG84" s="131" t="s">
        <v>35</v>
      </c>
      <c r="AH84" s="131"/>
      <c r="AI84" s="131"/>
      <c r="AJ84" s="51"/>
      <c r="AK84" s="138"/>
      <c r="AL84" s="139"/>
    </row>
    <row r="85" spans="2:38" x14ac:dyDescent="0.3">
      <c r="B85" s="50"/>
      <c r="C85" s="51"/>
      <c r="D85" s="56" t="b">
        <v>1</v>
      </c>
      <c r="E85" s="131" t="s">
        <v>36</v>
      </c>
      <c r="F85" s="131"/>
      <c r="G85" s="131"/>
      <c r="H85" s="131"/>
      <c r="I85" s="131"/>
      <c r="J85" s="51"/>
      <c r="K85" s="56" t="b">
        <v>1</v>
      </c>
      <c r="L85" s="131" t="s">
        <v>36</v>
      </c>
      <c r="M85" s="131"/>
      <c r="N85" s="131"/>
      <c r="O85" s="131"/>
      <c r="P85" s="131"/>
      <c r="Q85" s="51"/>
      <c r="R85" s="56" t="b">
        <v>1</v>
      </c>
      <c r="S85" s="131" t="s">
        <v>36</v>
      </c>
      <c r="T85" s="131"/>
      <c r="U85" s="131"/>
      <c r="V85" s="131"/>
      <c r="W85" s="131"/>
      <c r="X85" s="51"/>
      <c r="Y85" s="56" t="b">
        <v>1</v>
      </c>
      <c r="Z85" s="132" t="s">
        <v>36</v>
      </c>
      <c r="AA85" s="132"/>
      <c r="AB85" s="132"/>
      <c r="AC85" s="132"/>
      <c r="AD85" s="132"/>
      <c r="AE85" s="51"/>
      <c r="AF85" s="57" t="b">
        <v>1</v>
      </c>
      <c r="AG85" s="131" t="s">
        <v>36</v>
      </c>
      <c r="AH85" s="131"/>
      <c r="AI85" s="131"/>
      <c r="AJ85" s="51"/>
      <c r="AK85" s="138"/>
      <c r="AL85" s="139"/>
    </row>
    <row r="86" spans="2:38" x14ac:dyDescent="0.3">
      <c r="B86" s="133">
        <f>C97</f>
        <v>0.8666666666666667</v>
      </c>
      <c r="C86" s="134"/>
      <c r="D86" s="56" t="b">
        <v>1</v>
      </c>
      <c r="E86" s="131" t="s">
        <v>37</v>
      </c>
      <c r="F86" s="131"/>
      <c r="G86" s="131"/>
      <c r="H86" s="131"/>
      <c r="I86" s="131"/>
      <c r="J86" s="51"/>
      <c r="K86" s="56" t="b">
        <v>1</v>
      </c>
      <c r="L86" s="131" t="s">
        <v>37</v>
      </c>
      <c r="M86" s="131"/>
      <c r="N86" s="131"/>
      <c r="O86" s="131"/>
      <c r="P86" s="131"/>
      <c r="Q86" s="51"/>
      <c r="R86" s="56" t="b">
        <v>1</v>
      </c>
      <c r="S86" s="131" t="s">
        <v>37</v>
      </c>
      <c r="T86" s="131"/>
      <c r="U86" s="131"/>
      <c r="V86" s="131"/>
      <c r="W86" s="131"/>
      <c r="X86" s="51"/>
      <c r="Y86" s="56" t="b">
        <v>1</v>
      </c>
      <c r="Z86" s="131" t="s">
        <v>37</v>
      </c>
      <c r="AA86" s="131"/>
      <c r="AB86" s="131"/>
      <c r="AC86" s="131"/>
      <c r="AD86" s="131"/>
      <c r="AE86" s="51"/>
      <c r="AF86" s="57" t="b">
        <v>1</v>
      </c>
      <c r="AG86" s="131" t="s">
        <v>37</v>
      </c>
      <c r="AH86" s="131"/>
      <c r="AI86" s="131"/>
      <c r="AJ86" s="51"/>
      <c r="AK86" s="138"/>
      <c r="AL86" s="139"/>
    </row>
    <row r="87" spans="2:38" x14ac:dyDescent="0.3">
      <c r="B87" s="135"/>
      <c r="C87" s="134"/>
      <c r="D87" s="56" t="b">
        <v>1</v>
      </c>
      <c r="E87" s="131" t="s">
        <v>38</v>
      </c>
      <c r="F87" s="131"/>
      <c r="G87" s="131"/>
      <c r="H87" s="131"/>
      <c r="I87" s="131"/>
      <c r="J87" s="51"/>
      <c r="K87" s="56" t="b">
        <v>1</v>
      </c>
      <c r="L87" s="131" t="s">
        <v>38</v>
      </c>
      <c r="M87" s="131"/>
      <c r="N87" s="131"/>
      <c r="O87" s="131"/>
      <c r="P87" s="131"/>
      <c r="Q87" s="51"/>
      <c r="R87" s="56" t="b">
        <v>1</v>
      </c>
      <c r="S87" s="131" t="s">
        <v>38</v>
      </c>
      <c r="T87" s="131"/>
      <c r="U87" s="131"/>
      <c r="V87" s="131"/>
      <c r="W87" s="131"/>
      <c r="X87" s="51"/>
      <c r="Y87" s="56" t="b">
        <v>1</v>
      </c>
      <c r="Z87" s="132" t="s">
        <v>38</v>
      </c>
      <c r="AA87" s="132"/>
      <c r="AB87" s="132"/>
      <c r="AC87" s="132"/>
      <c r="AD87" s="132"/>
      <c r="AE87" s="51"/>
      <c r="AF87" s="57" t="b">
        <v>1</v>
      </c>
      <c r="AG87" s="131" t="s">
        <v>38</v>
      </c>
      <c r="AH87" s="131"/>
      <c r="AI87" s="131"/>
      <c r="AJ87" s="51"/>
      <c r="AK87" s="138"/>
      <c r="AL87" s="139"/>
    </row>
    <row r="88" spans="2:38" x14ac:dyDescent="0.3">
      <c r="B88" s="135"/>
      <c r="C88" s="134"/>
      <c r="D88" s="56" t="b">
        <v>1</v>
      </c>
      <c r="E88" s="131" t="s">
        <v>39</v>
      </c>
      <c r="F88" s="131"/>
      <c r="G88" s="131"/>
      <c r="H88" s="131"/>
      <c r="I88" s="131"/>
      <c r="J88" s="51"/>
      <c r="K88" s="56" t="b">
        <v>1</v>
      </c>
      <c r="L88" s="131" t="s">
        <v>39</v>
      </c>
      <c r="M88" s="131"/>
      <c r="N88" s="131"/>
      <c r="O88" s="131"/>
      <c r="P88" s="131"/>
      <c r="Q88" s="51"/>
      <c r="R88" s="56" t="b">
        <v>1</v>
      </c>
      <c r="S88" s="131" t="s">
        <v>39</v>
      </c>
      <c r="T88" s="131"/>
      <c r="U88" s="131"/>
      <c r="V88" s="131"/>
      <c r="W88" s="131"/>
      <c r="X88" s="51"/>
      <c r="Y88" s="56" t="b">
        <v>1</v>
      </c>
      <c r="Z88" s="131" t="s">
        <v>39</v>
      </c>
      <c r="AA88" s="131"/>
      <c r="AB88" s="131"/>
      <c r="AC88" s="131"/>
      <c r="AD88" s="131"/>
      <c r="AE88" s="51"/>
      <c r="AF88" s="57" t="b">
        <v>1</v>
      </c>
      <c r="AG88" s="131" t="s">
        <v>39</v>
      </c>
      <c r="AH88" s="131"/>
      <c r="AI88" s="131"/>
      <c r="AJ88" s="51"/>
      <c r="AK88" s="138"/>
      <c r="AL88" s="139"/>
    </row>
    <row r="89" spans="2:38" x14ac:dyDescent="0.3">
      <c r="B89" s="135"/>
      <c r="C89" s="134"/>
      <c r="D89" s="56" t="b">
        <v>0</v>
      </c>
      <c r="E89" s="131" t="s">
        <v>40</v>
      </c>
      <c r="F89" s="131"/>
      <c r="G89" s="131"/>
      <c r="H89" s="131"/>
      <c r="I89" s="131"/>
      <c r="J89" s="51"/>
      <c r="K89" s="56" t="b">
        <v>0</v>
      </c>
      <c r="L89" s="131" t="s">
        <v>40</v>
      </c>
      <c r="M89" s="131"/>
      <c r="N89" s="131"/>
      <c r="O89" s="131"/>
      <c r="P89" s="131"/>
      <c r="Q89" s="51"/>
      <c r="R89" s="56" t="b">
        <v>1</v>
      </c>
      <c r="S89" s="131" t="s">
        <v>40</v>
      </c>
      <c r="T89" s="131"/>
      <c r="U89" s="131"/>
      <c r="V89" s="131"/>
      <c r="W89" s="131"/>
      <c r="X89" s="51"/>
      <c r="Y89" s="56" t="b">
        <v>1</v>
      </c>
      <c r="Z89" s="132" t="s">
        <v>40</v>
      </c>
      <c r="AA89" s="132"/>
      <c r="AB89" s="132"/>
      <c r="AC89" s="132"/>
      <c r="AD89" s="132"/>
      <c r="AE89" s="51"/>
      <c r="AF89" s="57" t="b">
        <v>1</v>
      </c>
      <c r="AG89" s="131" t="s">
        <v>40</v>
      </c>
      <c r="AH89" s="131"/>
      <c r="AI89" s="131"/>
      <c r="AJ89" s="51"/>
      <c r="AK89" s="138"/>
      <c r="AL89" s="139"/>
    </row>
    <row r="90" spans="2:38" x14ac:dyDescent="0.3">
      <c r="B90" s="50"/>
      <c r="C90" s="51"/>
      <c r="D90" s="56" t="b">
        <v>0</v>
      </c>
      <c r="E90" s="131" t="s">
        <v>41</v>
      </c>
      <c r="F90" s="131"/>
      <c r="G90" s="131"/>
      <c r="H90" s="131"/>
      <c r="I90" s="131"/>
      <c r="J90" s="51"/>
      <c r="K90" s="56" t="b">
        <v>1</v>
      </c>
      <c r="L90" s="131" t="s">
        <v>41</v>
      </c>
      <c r="M90" s="131"/>
      <c r="N90" s="131"/>
      <c r="O90" s="131"/>
      <c r="P90" s="131"/>
      <c r="Q90" s="51"/>
      <c r="R90" s="56" t="b">
        <v>1</v>
      </c>
      <c r="S90" s="131" t="s">
        <v>41</v>
      </c>
      <c r="T90" s="131"/>
      <c r="U90" s="131"/>
      <c r="V90" s="131"/>
      <c r="W90" s="131"/>
      <c r="X90" s="51"/>
      <c r="Y90" s="56" t="b">
        <v>1</v>
      </c>
      <c r="Z90" s="131" t="s">
        <v>41</v>
      </c>
      <c r="AA90" s="131"/>
      <c r="AB90" s="131"/>
      <c r="AC90" s="131"/>
      <c r="AD90" s="131"/>
      <c r="AE90" s="51"/>
      <c r="AF90" s="57" t="b">
        <v>1</v>
      </c>
      <c r="AG90" s="131" t="s">
        <v>41</v>
      </c>
      <c r="AH90" s="131"/>
      <c r="AI90" s="131"/>
      <c r="AJ90" s="51"/>
      <c r="AK90" s="138"/>
      <c r="AL90" s="139"/>
    </row>
    <row r="91" spans="2:38" x14ac:dyDescent="0.3">
      <c r="B91" s="50"/>
      <c r="C91" s="51"/>
      <c r="D91" s="56" t="b">
        <v>1</v>
      </c>
      <c r="E91" s="131" t="s">
        <v>42</v>
      </c>
      <c r="F91" s="131"/>
      <c r="G91" s="131"/>
      <c r="H91" s="131"/>
      <c r="I91" s="131"/>
      <c r="J91" s="51"/>
      <c r="K91" s="56" t="b">
        <v>1</v>
      </c>
      <c r="L91" s="131" t="s">
        <v>42</v>
      </c>
      <c r="M91" s="131"/>
      <c r="N91" s="131"/>
      <c r="O91" s="131"/>
      <c r="P91" s="131"/>
      <c r="Q91" s="51"/>
      <c r="R91" s="56" t="b">
        <v>1</v>
      </c>
      <c r="S91" s="131" t="s">
        <v>42</v>
      </c>
      <c r="T91" s="131"/>
      <c r="U91" s="131"/>
      <c r="V91" s="131"/>
      <c r="W91" s="131"/>
      <c r="X91" s="51"/>
      <c r="Y91" s="56" t="b">
        <v>1</v>
      </c>
      <c r="Z91" s="132" t="s">
        <v>42</v>
      </c>
      <c r="AA91" s="132"/>
      <c r="AB91" s="132"/>
      <c r="AC91" s="132"/>
      <c r="AD91" s="132"/>
      <c r="AE91" s="51"/>
      <c r="AF91" s="57" t="b">
        <v>1</v>
      </c>
      <c r="AG91" s="131" t="s">
        <v>42</v>
      </c>
      <c r="AH91" s="131"/>
      <c r="AI91" s="131"/>
      <c r="AJ91" s="51"/>
      <c r="AK91" s="138"/>
      <c r="AL91" s="139"/>
    </row>
    <row r="92" spans="2:38" x14ac:dyDescent="0.3">
      <c r="B92" s="62"/>
      <c r="C92" s="58"/>
      <c r="D92" s="56" t="b">
        <v>1</v>
      </c>
      <c r="E92" s="131" t="s">
        <v>43</v>
      </c>
      <c r="F92" s="131"/>
      <c r="G92" s="131"/>
      <c r="H92" s="131"/>
      <c r="I92" s="131"/>
      <c r="J92" s="51"/>
      <c r="K92" s="56" t="b">
        <v>1</v>
      </c>
      <c r="L92" s="131" t="s">
        <v>43</v>
      </c>
      <c r="M92" s="131"/>
      <c r="N92" s="131"/>
      <c r="O92" s="131"/>
      <c r="P92" s="131"/>
      <c r="Q92" s="51"/>
      <c r="R92" s="56" t="b">
        <v>1</v>
      </c>
      <c r="S92" s="131" t="s">
        <v>43</v>
      </c>
      <c r="T92" s="131"/>
      <c r="U92" s="131"/>
      <c r="V92" s="131"/>
      <c r="W92" s="131"/>
      <c r="X92" s="51"/>
      <c r="Y92" s="56" t="b">
        <v>1</v>
      </c>
      <c r="Z92" s="131" t="s">
        <v>43</v>
      </c>
      <c r="AA92" s="131"/>
      <c r="AB92" s="131"/>
      <c r="AC92" s="131"/>
      <c r="AD92" s="131"/>
      <c r="AE92" s="51"/>
      <c r="AF92" s="57" t="b">
        <v>1</v>
      </c>
      <c r="AG92" s="131" t="s">
        <v>43</v>
      </c>
      <c r="AH92" s="131"/>
      <c r="AI92" s="131"/>
      <c r="AJ92" s="51"/>
      <c r="AK92" s="138"/>
      <c r="AL92" s="139"/>
    </row>
    <row r="93" spans="2:38" x14ac:dyDescent="0.3">
      <c r="B93" s="62"/>
      <c r="C93" s="58"/>
      <c r="D93" s="56" t="b">
        <v>1</v>
      </c>
      <c r="E93" s="131" t="s">
        <v>44</v>
      </c>
      <c r="F93" s="131"/>
      <c r="G93" s="131"/>
      <c r="H93" s="131"/>
      <c r="I93" s="131"/>
      <c r="J93" s="51"/>
      <c r="K93" s="56" t="b">
        <v>1</v>
      </c>
      <c r="L93" s="131" t="s">
        <v>44</v>
      </c>
      <c r="M93" s="131"/>
      <c r="N93" s="131"/>
      <c r="O93" s="131"/>
      <c r="P93" s="131"/>
      <c r="Q93" s="51"/>
      <c r="R93" s="56" t="b">
        <v>1</v>
      </c>
      <c r="S93" s="131" t="s">
        <v>44</v>
      </c>
      <c r="T93" s="131"/>
      <c r="U93" s="131"/>
      <c r="V93" s="131"/>
      <c r="W93" s="131"/>
      <c r="X93" s="51"/>
      <c r="Y93" s="56" t="b">
        <v>1</v>
      </c>
      <c r="Z93" s="132" t="s">
        <v>44</v>
      </c>
      <c r="AA93" s="132"/>
      <c r="AB93" s="132"/>
      <c r="AC93" s="132"/>
      <c r="AD93" s="132"/>
      <c r="AE93" s="51"/>
      <c r="AF93" s="57" t="b">
        <v>1</v>
      </c>
      <c r="AG93" s="131" t="s">
        <v>44</v>
      </c>
      <c r="AH93" s="131"/>
      <c r="AI93" s="131"/>
      <c r="AJ93" s="51"/>
      <c r="AK93" s="138"/>
      <c r="AL93" s="139"/>
    </row>
    <row r="94" spans="2:38" x14ac:dyDescent="0.3">
      <c r="B94" s="66" t="s">
        <v>33</v>
      </c>
      <c r="C94" s="63">
        <f>C95+C96</f>
        <v>75</v>
      </c>
      <c r="D94" s="56" t="b">
        <v>1</v>
      </c>
      <c r="E94" s="131" t="s">
        <v>45</v>
      </c>
      <c r="F94" s="131"/>
      <c r="G94" s="131"/>
      <c r="H94" s="131"/>
      <c r="I94" s="131"/>
      <c r="J94" s="51"/>
      <c r="K94" s="56" t="b">
        <v>1</v>
      </c>
      <c r="L94" s="131" t="s">
        <v>45</v>
      </c>
      <c r="M94" s="131"/>
      <c r="N94" s="131"/>
      <c r="O94" s="131"/>
      <c r="P94" s="131"/>
      <c r="Q94" s="51"/>
      <c r="R94" s="56" t="b">
        <v>1</v>
      </c>
      <c r="S94" s="131" t="s">
        <v>45</v>
      </c>
      <c r="T94" s="131"/>
      <c r="U94" s="131"/>
      <c r="V94" s="131"/>
      <c r="W94" s="131"/>
      <c r="X94" s="51"/>
      <c r="Y94" s="56" t="b">
        <v>1</v>
      </c>
      <c r="Z94" s="131" t="s">
        <v>45</v>
      </c>
      <c r="AA94" s="131"/>
      <c r="AB94" s="131"/>
      <c r="AC94" s="131"/>
      <c r="AD94" s="131"/>
      <c r="AE94" s="51"/>
      <c r="AF94" s="57" t="b">
        <v>1</v>
      </c>
      <c r="AG94" s="131" t="s">
        <v>45</v>
      </c>
      <c r="AH94" s="131"/>
      <c r="AI94" s="131"/>
      <c r="AJ94" s="51"/>
      <c r="AK94" s="138"/>
      <c r="AL94" s="139"/>
    </row>
    <row r="95" spans="2:38" x14ac:dyDescent="0.3">
      <c r="B95" s="66" t="s">
        <v>28</v>
      </c>
      <c r="C95" s="64">
        <f>COUNTIFS(D84:D98,TRUE,E84:E98,"&lt;&gt;")+COUNTIFS(K84:K98,TRUE,L84:L98,"&lt;&gt;")+COUNTIFS(R84:R98,TRUE,S84:S98,"&lt;&gt;")+COUNTIFS(Y84:Y98,TRUE,Z84:Z98,"&lt;&gt;")+COUNTIFS(AF84:AF98,TRUE,AG84:AG98,"&lt;&gt;")</f>
        <v>65</v>
      </c>
      <c r="D95" s="56" t="b">
        <v>1</v>
      </c>
      <c r="E95" s="131" t="s">
        <v>46</v>
      </c>
      <c r="F95" s="131"/>
      <c r="G95" s="131"/>
      <c r="H95" s="131"/>
      <c r="I95" s="131"/>
      <c r="J95" s="51"/>
      <c r="K95" s="56" t="b">
        <v>1</v>
      </c>
      <c r="L95" s="131" t="s">
        <v>46</v>
      </c>
      <c r="M95" s="131"/>
      <c r="N95" s="131"/>
      <c r="O95" s="131"/>
      <c r="P95" s="131"/>
      <c r="Q95" s="51"/>
      <c r="R95" s="56" t="b">
        <v>1</v>
      </c>
      <c r="S95" s="131" t="s">
        <v>46</v>
      </c>
      <c r="T95" s="131"/>
      <c r="U95" s="131"/>
      <c r="V95" s="131"/>
      <c r="W95" s="131"/>
      <c r="X95" s="51"/>
      <c r="Y95" s="56" t="b">
        <v>1</v>
      </c>
      <c r="Z95" s="132" t="s">
        <v>46</v>
      </c>
      <c r="AA95" s="132"/>
      <c r="AB95" s="132"/>
      <c r="AC95" s="132"/>
      <c r="AD95" s="132"/>
      <c r="AE95" s="51"/>
      <c r="AF95" s="57" t="b">
        <v>1</v>
      </c>
      <c r="AG95" s="131" t="s">
        <v>46</v>
      </c>
      <c r="AH95" s="131"/>
      <c r="AI95" s="131"/>
      <c r="AJ95" s="51"/>
      <c r="AK95" s="138"/>
      <c r="AL95" s="139"/>
    </row>
    <row r="96" spans="2:38" x14ac:dyDescent="0.3">
      <c r="B96" s="66" t="s">
        <v>29</v>
      </c>
      <c r="C96" s="63">
        <f>COUNTIFS(D84:D98,FALSE,E84:E98,"&lt;&gt;")+COUNTIFS(K84:K98,FALSE,L84:L98,"&lt;&gt;")+COUNTIFS(R84:R98,FALSE,S84:S98,"&lt;&gt;")+COUNTIFS(Y84:Y98,FALSE,Z84:Z98,"&lt;&gt;")+COUNTIFS(AF84:AF98,FALSE,AG84:AG98,"&lt;&gt;")</f>
        <v>10</v>
      </c>
      <c r="D96" s="56" t="b">
        <v>0</v>
      </c>
      <c r="E96" s="131" t="s">
        <v>47</v>
      </c>
      <c r="F96" s="131"/>
      <c r="G96" s="131"/>
      <c r="H96" s="131"/>
      <c r="I96" s="131"/>
      <c r="J96" s="51"/>
      <c r="K96" s="56" t="b">
        <v>1</v>
      </c>
      <c r="L96" s="131" t="s">
        <v>47</v>
      </c>
      <c r="M96" s="131"/>
      <c r="N96" s="131"/>
      <c r="O96" s="131"/>
      <c r="P96" s="131"/>
      <c r="Q96" s="51"/>
      <c r="R96" s="56" t="b">
        <v>0</v>
      </c>
      <c r="S96" s="131" t="s">
        <v>47</v>
      </c>
      <c r="T96" s="131"/>
      <c r="U96" s="131"/>
      <c r="V96" s="131"/>
      <c r="W96" s="131"/>
      <c r="X96" s="51"/>
      <c r="Y96" s="56" t="b">
        <v>1</v>
      </c>
      <c r="Z96" s="131" t="s">
        <v>47</v>
      </c>
      <c r="AA96" s="131"/>
      <c r="AB96" s="131"/>
      <c r="AC96" s="131"/>
      <c r="AD96" s="131"/>
      <c r="AE96" s="51"/>
      <c r="AF96" s="57" t="b">
        <v>1</v>
      </c>
      <c r="AG96" s="131" t="s">
        <v>47</v>
      </c>
      <c r="AH96" s="131"/>
      <c r="AI96" s="131"/>
      <c r="AJ96" s="51"/>
      <c r="AK96" s="138"/>
      <c r="AL96" s="139"/>
    </row>
    <row r="97" spans="2:39" x14ac:dyDescent="0.3">
      <c r="B97" s="66" t="s">
        <v>30</v>
      </c>
      <c r="C97" s="65">
        <f>C95/C94</f>
        <v>0.8666666666666667</v>
      </c>
      <c r="D97" s="56" t="b">
        <v>0</v>
      </c>
      <c r="E97" s="131" t="s">
        <v>48</v>
      </c>
      <c r="F97" s="131"/>
      <c r="G97" s="131"/>
      <c r="H97" s="131"/>
      <c r="I97" s="131"/>
      <c r="J97" s="51"/>
      <c r="K97" s="56" t="b">
        <v>1</v>
      </c>
      <c r="L97" s="131" t="s">
        <v>48</v>
      </c>
      <c r="M97" s="131"/>
      <c r="N97" s="131"/>
      <c r="O97" s="131"/>
      <c r="P97" s="131"/>
      <c r="Q97" s="51"/>
      <c r="R97" s="56" t="b">
        <v>0</v>
      </c>
      <c r="S97" s="131" t="s">
        <v>48</v>
      </c>
      <c r="T97" s="131"/>
      <c r="U97" s="131"/>
      <c r="V97" s="131"/>
      <c r="W97" s="131"/>
      <c r="X97" s="51"/>
      <c r="Y97" s="56" t="b">
        <v>1</v>
      </c>
      <c r="Z97" s="132" t="s">
        <v>48</v>
      </c>
      <c r="AA97" s="132"/>
      <c r="AB97" s="132"/>
      <c r="AC97" s="132"/>
      <c r="AD97" s="132"/>
      <c r="AE97" s="51"/>
      <c r="AF97" s="57" t="b">
        <v>1</v>
      </c>
      <c r="AG97" s="131" t="s">
        <v>48</v>
      </c>
      <c r="AH97" s="131"/>
      <c r="AI97" s="131"/>
      <c r="AJ97" s="51"/>
      <c r="AK97" s="138"/>
      <c r="AL97" s="139"/>
    </row>
    <row r="98" spans="2:39" x14ac:dyDescent="0.3">
      <c r="B98" s="67"/>
      <c r="C98" s="51"/>
      <c r="D98" s="56" t="b">
        <v>0</v>
      </c>
      <c r="E98" s="131" t="s">
        <v>49</v>
      </c>
      <c r="F98" s="131"/>
      <c r="G98" s="131"/>
      <c r="H98" s="131"/>
      <c r="I98" s="131"/>
      <c r="J98" s="51"/>
      <c r="K98" s="56" t="b">
        <v>1</v>
      </c>
      <c r="L98" s="131" t="s">
        <v>49</v>
      </c>
      <c r="M98" s="131"/>
      <c r="N98" s="131"/>
      <c r="O98" s="131"/>
      <c r="P98" s="131"/>
      <c r="Q98" s="51"/>
      <c r="R98" s="56" t="b">
        <v>0</v>
      </c>
      <c r="S98" s="131" t="s">
        <v>49</v>
      </c>
      <c r="T98" s="131"/>
      <c r="U98" s="131"/>
      <c r="V98" s="131"/>
      <c r="W98" s="131"/>
      <c r="X98" s="51"/>
      <c r="Y98" s="56" t="b">
        <v>1</v>
      </c>
      <c r="Z98" s="131" t="s">
        <v>49</v>
      </c>
      <c r="AA98" s="131"/>
      <c r="AB98" s="131"/>
      <c r="AC98" s="131"/>
      <c r="AD98" s="131"/>
      <c r="AE98" s="51"/>
      <c r="AF98" s="57" t="b">
        <v>1</v>
      </c>
      <c r="AG98" s="131" t="s">
        <v>49</v>
      </c>
      <c r="AH98" s="131"/>
      <c r="AI98" s="131"/>
      <c r="AJ98" s="51"/>
      <c r="AK98" s="138"/>
      <c r="AL98" s="139"/>
    </row>
    <row r="99" spans="2:39" ht="15" thickBot="1" x14ac:dyDescent="0.35">
      <c r="B99" s="59"/>
      <c r="C99" s="60"/>
      <c r="D99" s="59"/>
      <c r="E99" s="61"/>
      <c r="F99" s="61"/>
      <c r="G99" s="61"/>
      <c r="H99" s="61"/>
      <c r="I99" s="61"/>
      <c r="J99" s="60"/>
      <c r="K99" s="59"/>
      <c r="L99" s="61"/>
      <c r="M99" s="61"/>
      <c r="N99" s="61"/>
      <c r="O99" s="61"/>
      <c r="P99" s="61"/>
      <c r="Q99" s="60"/>
      <c r="R99" s="59"/>
      <c r="S99" s="61"/>
      <c r="T99" s="61"/>
      <c r="U99" s="61"/>
      <c r="V99" s="61"/>
      <c r="W99" s="61"/>
      <c r="X99" s="60"/>
      <c r="Y99" s="59"/>
      <c r="Z99" s="61"/>
      <c r="AA99" s="61"/>
      <c r="AB99" s="61"/>
      <c r="AC99" s="61"/>
      <c r="AD99" s="61"/>
      <c r="AE99" s="60"/>
      <c r="AF99" s="59"/>
      <c r="AG99" s="61"/>
      <c r="AH99" s="61"/>
      <c r="AI99" s="61"/>
      <c r="AJ99" s="60"/>
      <c r="AK99" s="140"/>
      <c r="AL99" s="141"/>
    </row>
    <row r="100" spans="2:39" ht="15" thickTop="1" x14ac:dyDescent="0.3"/>
    <row r="101" spans="2:39" ht="15" thickBot="1" x14ac:dyDescent="0.35"/>
    <row r="102" spans="2:39" ht="39" customHeight="1" thickTop="1" thickBot="1" x14ac:dyDescent="0.35">
      <c r="B102" s="150" t="s">
        <v>31</v>
      </c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2"/>
      <c r="R102" s="153" t="s">
        <v>32</v>
      </c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  <c r="AF102" s="154"/>
      <c r="AG102" s="154"/>
      <c r="AH102" s="154"/>
      <c r="AI102" s="154"/>
      <c r="AJ102" s="155"/>
      <c r="AK102" s="156" t="str">
        <f>"You have completed "&amp;C115&amp;" monthly habits and "&amp;V115&amp;" monthly goals"</f>
        <v>You have completed 25 monthly habits and 22 monthly goals</v>
      </c>
      <c r="AL102" s="157"/>
      <c r="AM102" s="26"/>
    </row>
    <row r="103" spans="2:39" ht="15" thickTop="1" x14ac:dyDescent="0.3">
      <c r="B103" s="50"/>
      <c r="C103" s="51"/>
      <c r="D103" s="52"/>
      <c r="E103" s="53"/>
      <c r="F103" s="53"/>
      <c r="G103" s="53"/>
      <c r="H103" s="53"/>
      <c r="I103" s="53"/>
      <c r="J103" s="54"/>
      <c r="K103" s="52"/>
      <c r="L103" s="53"/>
      <c r="M103" s="53"/>
      <c r="N103" s="53"/>
      <c r="O103" s="53"/>
      <c r="P103" s="53"/>
      <c r="Q103" s="54"/>
      <c r="R103" s="55"/>
      <c r="S103" s="55"/>
      <c r="T103" s="55"/>
      <c r="U103" s="55"/>
      <c r="V103" s="55"/>
      <c r="W103" s="55"/>
      <c r="X103" s="55"/>
      <c r="Y103" s="52"/>
      <c r="Z103" s="53"/>
      <c r="AA103" s="53"/>
      <c r="AB103" s="53"/>
      <c r="AC103" s="53"/>
      <c r="AD103" s="53"/>
      <c r="AE103" s="54"/>
      <c r="AF103" s="50"/>
      <c r="AG103" s="55"/>
      <c r="AH103" s="55"/>
      <c r="AI103" s="55"/>
      <c r="AJ103" s="51"/>
      <c r="AK103" s="136"/>
      <c r="AL103" s="137"/>
    </row>
    <row r="104" spans="2:39" x14ac:dyDescent="0.3">
      <c r="B104" s="50"/>
      <c r="C104" s="51"/>
      <c r="D104" s="56" t="b">
        <v>1</v>
      </c>
      <c r="E104" s="131" t="s">
        <v>35</v>
      </c>
      <c r="F104" s="131"/>
      <c r="G104" s="131"/>
      <c r="H104" s="131"/>
      <c r="I104" s="131"/>
      <c r="J104" s="51"/>
      <c r="K104" s="56" t="b">
        <v>1</v>
      </c>
      <c r="L104" s="131" t="s">
        <v>35</v>
      </c>
      <c r="M104" s="131"/>
      <c r="N104" s="131"/>
      <c r="O104" s="131"/>
      <c r="P104" s="131"/>
      <c r="Q104" s="51"/>
      <c r="R104" s="55"/>
      <c r="S104" s="55"/>
      <c r="T104" s="55"/>
      <c r="U104" s="55"/>
      <c r="V104" s="55"/>
      <c r="W104" s="55"/>
      <c r="X104" s="55"/>
      <c r="Y104" s="56" t="b">
        <v>1</v>
      </c>
      <c r="Z104" s="131" t="s">
        <v>35</v>
      </c>
      <c r="AA104" s="131"/>
      <c r="AB104" s="131"/>
      <c r="AC104" s="131"/>
      <c r="AD104" s="131"/>
      <c r="AE104" s="51"/>
      <c r="AF104" s="57" t="b">
        <v>1</v>
      </c>
      <c r="AG104" s="131" t="s">
        <v>35</v>
      </c>
      <c r="AH104" s="131"/>
      <c r="AI104" s="131"/>
      <c r="AJ104" s="51"/>
      <c r="AK104" s="138"/>
      <c r="AL104" s="139"/>
    </row>
    <row r="105" spans="2:39" x14ac:dyDescent="0.3">
      <c r="B105" s="50"/>
      <c r="C105" s="51"/>
      <c r="D105" s="56" t="b">
        <v>1</v>
      </c>
      <c r="E105" s="131" t="s">
        <v>36</v>
      </c>
      <c r="F105" s="131"/>
      <c r="G105" s="131"/>
      <c r="H105" s="131"/>
      <c r="I105" s="131"/>
      <c r="J105" s="51"/>
      <c r="K105" s="56" t="b">
        <v>1</v>
      </c>
      <c r="L105" s="131" t="s">
        <v>36</v>
      </c>
      <c r="M105" s="131"/>
      <c r="N105" s="131"/>
      <c r="O105" s="131"/>
      <c r="P105" s="131"/>
      <c r="Q105" s="51"/>
      <c r="R105" s="55"/>
      <c r="S105" s="55"/>
      <c r="T105" s="55"/>
      <c r="U105" s="55"/>
      <c r="V105" s="55"/>
      <c r="W105" s="55"/>
      <c r="X105" s="55"/>
      <c r="Y105" s="56" t="b">
        <v>1</v>
      </c>
      <c r="Z105" s="131" t="s">
        <v>36</v>
      </c>
      <c r="AA105" s="131"/>
      <c r="AB105" s="131"/>
      <c r="AC105" s="131"/>
      <c r="AD105" s="131"/>
      <c r="AE105" s="51"/>
      <c r="AF105" s="57" t="b">
        <v>1</v>
      </c>
      <c r="AG105" s="131" t="s">
        <v>36</v>
      </c>
      <c r="AH105" s="131"/>
      <c r="AI105" s="131"/>
      <c r="AJ105" s="51"/>
      <c r="AK105" s="138"/>
      <c r="AL105" s="139"/>
    </row>
    <row r="106" spans="2:39" x14ac:dyDescent="0.3">
      <c r="B106" s="133">
        <f>C117</f>
        <v>0.83333333333333337</v>
      </c>
      <c r="C106" s="134"/>
      <c r="D106" s="56" t="b">
        <v>1</v>
      </c>
      <c r="E106" s="131" t="s">
        <v>37</v>
      </c>
      <c r="F106" s="131"/>
      <c r="G106" s="131"/>
      <c r="H106" s="131"/>
      <c r="I106" s="131"/>
      <c r="J106" s="51"/>
      <c r="K106" s="56" t="b">
        <v>1</v>
      </c>
      <c r="L106" s="131" t="s">
        <v>37</v>
      </c>
      <c r="M106" s="131"/>
      <c r="N106" s="131"/>
      <c r="O106" s="131"/>
      <c r="P106" s="131"/>
      <c r="Q106" s="51"/>
      <c r="R106" s="146">
        <f>V117</f>
        <v>0.73333333333333328</v>
      </c>
      <c r="S106" s="147"/>
      <c r="T106" s="147"/>
      <c r="U106" s="147"/>
      <c r="V106" s="147"/>
      <c r="W106" s="147"/>
      <c r="X106" s="148"/>
      <c r="Y106" s="56" t="b">
        <v>1</v>
      </c>
      <c r="Z106" s="131" t="s">
        <v>37</v>
      </c>
      <c r="AA106" s="131"/>
      <c r="AB106" s="131"/>
      <c r="AC106" s="131"/>
      <c r="AD106" s="131"/>
      <c r="AE106" s="51"/>
      <c r="AF106" s="57" t="b">
        <v>1</v>
      </c>
      <c r="AG106" s="131" t="s">
        <v>37</v>
      </c>
      <c r="AH106" s="131"/>
      <c r="AI106" s="131"/>
      <c r="AJ106" s="51"/>
      <c r="AK106" s="138"/>
      <c r="AL106" s="139"/>
    </row>
    <row r="107" spans="2:39" x14ac:dyDescent="0.3">
      <c r="B107" s="135"/>
      <c r="C107" s="134"/>
      <c r="D107" s="56" t="b">
        <v>1</v>
      </c>
      <c r="E107" s="131" t="s">
        <v>38</v>
      </c>
      <c r="F107" s="131"/>
      <c r="G107" s="131"/>
      <c r="H107" s="131"/>
      <c r="I107" s="131"/>
      <c r="J107" s="51"/>
      <c r="K107" s="56" t="b">
        <v>1</v>
      </c>
      <c r="L107" s="131" t="s">
        <v>38</v>
      </c>
      <c r="M107" s="131"/>
      <c r="N107" s="131"/>
      <c r="O107" s="131"/>
      <c r="P107" s="131"/>
      <c r="Q107" s="51"/>
      <c r="R107" s="149"/>
      <c r="S107" s="147"/>
      <c r="T107" s="147"/>
      <c r="U107" s="147"/>
      <c r="V107" s="147"/>
      <c r="W107" s="147"/>
      <c r="X107" s="148"/>
      <c r="Y107" s="56" t="b">
        <v>1</v>
      </c>
      <c r="Z107" s="131" t="s">
        <v>38</v>
      </c>
      <c r="AA107" s="131"/>
      <c r="AB107" s="131"/>
      <c r="AC107" s="131"/>
      <c r="AD107" s="131"/>
      <c r="AE107" s="51"/>
      <c r="AF107" s="57" t="b">
        <v>1</v>
      </c>
      <c r="AG107" s="131" t="s">
        <v>38</v>
      </c>
      <c r="AH107" s="131"/>
      <c r="AI107" s="131"/>
      <c r="AJ107" s="51"/>
      <c r="AK107" s="138"/>
      <c r="AL107" s="139"/>
    </row>
    <row r="108" spans="2:39" x14ac:dyDescent="0.3">
      <c r="B108" s="135"/>
      <c r="C108" s="134"/>
      <c r="D108" s="56" t="b">
        <v>1</v>
      </c>
      <c r="E108" s="131" t="s">
        <v>39</v>
      </c>
      <c r="F108" s="131"/>
      <c r="G108" s="131"/>
      <c r="H108" s="131"/>
      <c r="I108" s="131"/>
      <c r="J108" s="51"/>
      <c r="K108" s="56" t="b">
        <v>1</v>
      </c>
      <c r="L108" s="131" t="s">
        <v>39</v>
      </c>
      <c r="M108" s="131"/>
      <c r="N108" s="131"/>
      <c r="O108" s="131"/>
      <c r="P108" s="131"/>
      <c r="Q108" s="51"/>
      <c r="R108" s="149"/>
      <c r="S108" s="147"/>
      <c r="T108" s="147"/>
      <c r="U108" s="147"/>
      <c r="V108" s="147"/>
      <c r="W108" s="147"/>
      <c r="X108" s="148"/>
      <c r="Y108" s="56" t="b">
        <v>1</v>
      </c>
      <c r="Z108" s="131" t="s">
        <v>39</v>
      </c>
      <c r="AA108" s="131"/>
      <c r="AB108" s="131"/>
      <c r="AC108" s="131"/>
      <c r="AD108" s="131"/>
      <c r="AE108" s="51"/>
      <c r="AF108" s="57" t="b">
        <v>1</v>
      </c>
      <c r="AG108" s="131" t="s">
        <v>39</v>
      </c>
      <c r="AH108" s="131"/>
      <c r="AI108" s="131"/>
      <c r="AJ108" s="51"/>
      <c r="AK108" s="138"/>
      <c r="AL108" s="139"/>
    </row>
    <row r="109" spans="2:39" x14ac:dyDescent="0.3">
      <c r="B109" s="135"/>
      <c r="C109" s="134"/>
      <c r="D109" s="56" t="b">
        <v>1</v>
      </c>
      <c r="E109" s="131" t="s">
        <v>40</v>
      </c>
      <c r="F109" s="131"/>
      <c r="G109" s="131"/>
      <c r="H109" s="131"/>
      <c r="I109" s="131"/>
      <c r="J109" s="51"/>
      <c r="K109" s="56" t="b">
        <v>1</v>
      </c>
      <c r="L109" s="131" t="s">
        <v>40</v>
      </c>
      <c r="M109" s="131"/>
      <c r="N109" s="131"/>
      <c r="O109" s="131"/>
      <c r="P109" s="131"/>
      <c r="Q109" s="51"/>
      <c r="R109" s="149"/>
      <c r="S109" s="147"/>
      <c r="T109" s="147"/>
      <c r="U109" s="147"/>
      <c r="V109" s="147"/>
      <c r="W109" s="147"/>
      <c r="X109" s="148"/>
      <c r="Y109" s="56" t="b">
        <v>1</v>
      </c>
      <c r="Z109" s="131" t="s">
        <v>40</v>
      </c>
      <c r="AA109" s="131"/>
      <c r="AB109" s="131"/>
      <c r="AC109" s="131"/>
      <c r="AD109" s="131"/>
      <c r="AE109" s="51"/>
      <c r="AF109" s="57" t="b">
        <v>1</v>
      </c>
      <c r="AG109" s="131" t="s">
        <v>40</v>
      </c>
      <c r="AH109" s="131"/>
      <c r="AI109" s="131"/>
      <c r="AJ109" s="51"/>
      <c r="AK109" s="138"/>
      <c r="AL109" s="139"/>
    </row>
    <row r="110" spans="2:39" x14ac:dyDescent="0.3">
      <c r="B110" s="50"/>
      <c r="C110" s="51"/>
      <c r="D110" s="56" t="b">
        <v>1</v>
      </c>
      <c r="E110" s="131" t="s">
        <v>41</v>
      </c>
      <c r="F110" s="131"/>
      <c r="G110" s="131"/>
      <c r="H110" s="131"/>
      <c r="I110" s="131"/>
      <c r="J110" s="51"/>
      <c r="K110" s="56" t="b">
        <v>1</v>
      </c>
      <c r="L110" s="131" t="s">
        <v>41</v>
      </c>
      <c r="M110" s="131"/>
      <c r="N110" s="131"/>
      <c r="O110" s="131"/>
      <c r="P110" s="131"/>
      <c r="Q110" s="51"/>
      <c r="R110" s="149"/>
      <c r="S110" s="147"/>
      <c r="T110" s="147"/>
      <c r="U110" s="147"/>
      <c r="V110" s="147"/>
      <c r="W110" s="147"/>
      <c r="X110" s="148"/>
      <c r="Y110" s="56" t="b">
        <v>0</v>
      </c>
      <c r="Z110" s="131" t="s">
        <v>41</v>
      </c>
      <c r="AA110" s="131"/>
      <c r="AB110" s="131"/>
      <c r="AC110" s="131"/>
      <c r="AD110" s="131"/>
      <c r="AE110" s="51"/>
      <c r="AF110" s="57" t="b">
        <v>1</v>
      </c>
      <c r="AG110" s="131" t="s">
        <v>41</v>
      </c>
      <c r="AH110" s="131"/>
      <c r="AI110" s="131"/>
      <c r="AJ110" s="51"/>
      <c r="AK110" s="138"/>
      <c r="AL110" s="139"/>
    </row>
    <row r="111" spans="2:39" x14ac:dyDescent="0.3">
      <c r="B111" s="50"/>
      <c r="C111" s="51"/>
      <c r="D111" s="56" t="b">
        <v>1</v>
      </c>
      <c r="E111" s="131" t="s">
        <v>42</v>
      </c>
      <c r="F111" s="131"/>
      <c r="G111" s="131"/>
      <c r="H111" s="131"/>
      <c r="I111" s="131"/>
      <c r="J111" s="51"/>
      <c r="K111" s="56" t="b">
        <v>1</v>
      </c>
      <c r="L111" s="131" t="s">
        <v>42</v>
      </c>
      <c r="M111" s="131"/>
      <c r="N111" s="131"/>
      <c r="O111" s="131"/>
      <c r="P111" s="131"/>
      <c r="Q111" s="51"/>
      <c r="R111" s="55"/>
      <c r="S111" s="55"/>
      <c r="T111" s="55"/>
      <c r="U111" s="55"/>
      <c r="V111" s="55"/>
      <c r="W111" s="55"/>
      <c r="X111" s="55"/>
      <c r="Y111" s="56" t="b">
        <v>0</v>
      </c>
      <c r="Z111" s="131" t="s">
        <v>42</v>
      </c>
      <c r="AA111" s="131"/>
      <c r="AB111" s="131"/>
      <c r="AC111" s="131"/>
      <c r="AD111" s="131"/>
      <c r="AE111" s="51"/>
      <c r="AF111" s="57" t="b">
        <v>1</v>
      </c>
      <c r="AG111" s="131" t="s">
        <v>42</v>
      </c>
      <c r="AH111" s="131"/>
      <c r="AI111" s="131"/>
      <c r="AJ111" s="51"/>
      <c r="AK111" s="138"/>
      <c r="AL111" s="139"/>
    </row>
    <row r="112" spans="2:39" x14ac:dyDescent="0.3">
      <c r="B112" s="62"/>
      <c r="C112" s="58"/>
      <c r="D112" s="56" t="b">
        <v>1</v>
      </c>
      <c r="E112" s="131" t="s">
        <v>43</v>
      </c>
      <c r="F112" s="131"/>
      <c r="G112" s="131"/>
      <c r="H112" s="131"/>
      <c r="I112" s="131"/>
      <c r="J112" s="51"/>
      <c r="K112" s="56" t="b">
        <v>1</v>
      </c>
      <c r="L112" s="131" t="s">
        <v>43</v>
      </c>
      <c r="M112" s="131"/>
      <c r="N112" s="131"/>
      <c r="O112" s="131"/>
      <c r="P112" s="131"/>
      <c r="Q112" s="51"/>
      <c r="R112" s="55"/>
      <c r="S112" s="55"/>
      <c r="T112" s="55"/>
      <c r="U112" s="55"/>
      <c r="V112" s="55"/>
      <c r="W112" s="55"/>
      <c r="X112" s="55"/>
      <c r="Y112" s="56" t="b">
        <v>1</v>
      </c>
      <c r="Z112" s="131" t="s">
        <v>43</v>
      </c>
      <c r="AA112" s="131"/>
      <c r="AB112" s="131"/>
      <c r="AC112" s="131"/>
      <c r="AD112" s="131"/>
      <c r="AE112" s="51"/>
      <c r="AF112" s="57" t="b">
        <v>1</v>
      </c>
      <c r="AG112" s="131" t="s">
        <v>43</v>
      </c>
      <c r="AH112" s="131"/>
      <c r="AI112" s="131"/>
      <c r="AJ112" s="51"/>
      <c r="AK112" s="138"/>
      <c r="AL112" s="139"/>
    </row>
    <row r="113" spans="2:38" x14ac:dyDescent="0.3">
      <c r="B113" s="62"/>
      <c r="C113" s="58"/>
      <c r="D113" s="56" t="b">
        <v>1</v>
      </c>
      <c r="E113" s="131" t="s">
        <v>44</v>
      </c>
      <c r="F113" s="131"/>
      <c r="G113" s="131"/>
      <c r="H113" s="131"/>
      <c r="I113" s="131"/>
      <c r="J113" s="51"/>
      <c r="K113" s="56" t="b">
        <v>1</v>
      </c>
      <c r="L113" s="131" t="s">
        <v>44</v>
      </c>
      <c r="M113" s="131"/>
      <c r="N113" s="131"/>
      <c r="O113" s="131"/>
      <c r="P113" s="131"/>
      <c r="Q113" s="51"/>
      <c r="R113" s="55"/>
      <c r="S113" s="55"/>
      <c r="T113" s="55"/>
      <c r="U113" s="55"/>
      <c r="V113" s="55"/>
      <c r="W113" s="55"/>
      <c r="X113" s="55"/>
      <c r="Y113" s="56" t="b">
        <v>1</v>
      </c>
      <c r="Z113" s="131" t="s">
        <v>44</v>
      </c>
      <c r="AA113" s="131"/>
      <c r="AB113" s="131"/>
      <c r="AC113" s="131"/>
      <c r="AD113" s="131"/>
      <c r="AE113" s="51"/>
      <c r="AF113" s="57" t="b">
        <v>1</v>
      </c>
      <c r="AG113" s="131" t="s">
        <v>44</v>
      </c>
      <c r="AH113" s="131"/>
      <c r="AI113" s="131"/>
      <c r="AJ113" s="51"/>
      <c r="AK113" s="138"/>
      <c r="AL113" s="139"/>
    </row>
    <row r="114" spans="2:38" x14ac:dyDescent="0.3">
      <c r="B114" s="66" t="s">
        <v>33</v>
      </c>
      <c r="C114" s="63">
        <f>C115+C116</f>
        <v>30</v>
      </c>
      <c r="D114" s="56" t="b">
        <v>1</v>
      </c>
      <c r="E114" s="131" t="s">
        <v>45</v>
      </c>
      <c r="F114" s="131"/>
      <c r="G114" s="131"/>
      <c r="H114" s="131"/>
      <c r="I114" s="131"/>
      <c r="J114" s="51"/>
      <c r="K114" s="56" t="b">
        <v>0</v>
      </c>
      <c r="L114" s="131" t="s">
        <v>45</v>
      </c>
      <c r="M114" s="131"/>
      <c r="N114" s="131"/>
      <c r="O114" s="131"/>
      <c r="P114" s="131"/>
      <c r="Q114" s="51"/>
      <c r="R114" s="142" t="s">
        <v>33</v>
      </c>
      <c r="S114" s="143"/>
      <c r="T114" s="143"/>
      <c r="U114" s="143"/>
      <c r="V114" s="144">
        <f>V115+V116</f>
        <v>30</v>
      </c>
      <c r="W114" s="144"/>
      <c r="X114" s="55"/>
      <c r="Y114" s="56" t="b">
        <v>1</v>
      </c>
      <c r="Z114" s="131" t="s">
        <v>45</v>
      </c>
      <c r="AA114" s="131"/>
      <c r="AB114" s="131"/>
      <c r="AC114" s="131"/>
      <c r="AD114" s="131"/>
      <c r="AE114" s="51"/>
      <c r="AF114" s="57" t="b">
        <v>1</v>
      </c>
      <c r="AG114" s="131" t="s">
        <v>45</v>
      </c>
      <c r="AH114" s="131"/>
      <c r="AI114" s="131"/>
      <c r="AJ114" s="51"/>
      <c r="AK114" s="138"/>
      <c r="AL114" s="139"/>
    </row>
    <row r="115" spans="2:38" x14ac:dyDescent="0.3">
      <c r="B115" s="66" t="s">
        <v>28</v>
      </c>
      <c r="C115" s="64">
        <f>COUNTIFS(D104:D118,TRUE,E104:E118,"&lt;&gt;")+COUNTIFS(K104:K118,TRUE,L104:L118,"&lt;&gt;")</f>
        <v>25</v>
      </c>
      <c r="D115" s="56" t="b">
        <v>1</v>
      </c>
      <c r="E115" s="131" t="s">
        <v>46</v>
      </c>
      <c r="F115" s="131"/>
      <c r="G115" s="131"/>
      <c r="H115" s="131"/>
      <c r="I115" s="131"/>
      <c r="J115" s="51"/>
      <c r="K115" s="56" t="b">
        <v>0</v>
      </c>
      <c r="L115" s="131" t="s">
        <v>46</v>
      </c>
      <c r="M115" s="131"/>
      <c r="N115" s="131"/>
      <c r="O115" s="131"/>
      <c r="P115" s="131"/>
      <c r="Q115" s="51"/>
      <c r="R115" s="142" t="s">
        <v>28</v>
      </c>
      <c r="S115" s="143"/>
      <c r="T115" s="143"/>
      <c r="U115" s="143"/>
      <c r="V115" s="144">
        <f>COUNTIFS(Y104:Y118,TRUE,Z104:Z118,"&lt;&gt;")+COUNTIFS(AF104:AF118,TRUE,AG104:AG118,"&lt;&gt;")</f>
        <v>22</v>
      </c>
      <c r="W115" s="144"/>
      <c r="X115" s="55"/>
      <c r="Y115" s="56" t="b">
        <v>0</v>
      </c>
      <c r="Z115" s="131" t="s">
        <v>46</v>
      </c>
      <c r="AA115" s="131"/>
      <c r="AB115" s="131"/>
      <c r="AC115" s="131"/>
      <c r="AD115" s="131"/>
      <c r="AE115" s="51"/>
      <c r="AF115" s="57" t="b">
        <v>1</v>
      </c>
      <c r="AG115" s="131" t="s">
        <v>46</v>
      </c>
      <c r="AH115" s="131"/>
      <c r="AI115" s="131"/>
      <c r="AJ115" s="51"/>
      <c r="AK115" s="138"/>
      <c r="AL115" s="139"/>
    </row>
    <row r="116" spans="2:38" x14ac:dyDescent="0.3">
      <c r="B116" s="66" t="s">
        <v>29</v>
      </c>
      <c r="C116" s="63">
        <f>COUNTIFS(D104:D118,FALSE,E104:E118,"&lt;&gt;")+COUNTIFS(K104:K118,FALSE,L104:L118,"&lt;&gt;")</f>
        <v>5</v>
      </c>
      <c r="D116" s="56" t="b">
        <v>1</v>
      </c>
      <c r="E116" s="131" t="s">
        <v>47</v>
      </c>
      <c r="F116" s="131"/>
      <c r="G116" s="131"/>
      <c r="H116" s="131"/>
      <c r="I116" s="131"/>
      <c r="J116" s="51"/>
      <c r="K116" s="56" t="b">
        <v>0</v>
      </c>
      <c r="L116" s="131" t="s">
        <v>47</v>
      </c>
      <c r="M116" s="131"/>
      <c r="N116" s="131"/>
      <c r="O116" s="131"/>
      <c r="P116" s="131"/>
      <c r="Q116" s="51"/>
      <c r="R116" s="142" t="s">
        <v>29</v>
      </c>
      <c r="S116" s="143"/>
      <c r="T116" s="143"/>
      <c r="U116" s="143"/>
      <c r="V116" s="144">
        <f>COUNTIFS(Y104:Y118,FALSE,Z104:Z118,"&lt;&gt;")+COUNTIFS(AF104:AF118,FALSE,AG104:AG118,"&lt;&gt;")</f>
        <v>8</v>
      </c>
      <c r="W116" s="144"/>
      <c r="X116" s="55"/>
      <c r="Y116" s="56" t="b">
        <v>0</v>
      </c>
      <c r="Z116" s="131" t="s">
        <v>47</v>
      </c>
      <c r="AA116" s="131"/>
      <c r="AB116" s="131"/>
      <c r="AC116" s="131"/>
      <c r="AD116" s="131"/>
      <c r="AE116" s="51"/>
      <c r="AF116" s="57" t="b">
        <v>1</v>
      </c>
      <c r="AG116" s="131" t="s">
        <v>47</v>
      </c>
      <c r="AH116" s="131"/>
      <c r="AI116" s="131"/>
      <c r="AJ116" s="51"/>
      <c r="AK116" s="138"/>
      <c r="AL116" s="139"/>
    </row>
    <row r="117" spans="2:38" x14ac:dyDescent="0.3">
      <c r="B117" s="66" t="s">
        <v>30</v>
      </c>
      <c r="C117" s="65">
        <f>C115/C114</f>
        <v>0.83333333333333337</v>
      </c>
      <c r="D117" s="56" t="b">
        <v>1</v>
      </c>
      <c r="E117" s="131" t="s">
        <v>48</v>
      </c>
      <c r="F117" s="131"/>
      <c r="G117" s="131"/>
      <c r="H117" s="131"/>
      <c r="I117" s="131"/>
      <c r="J117" s="51"/>
      <c r="K117" s="56" t="b">
        <v>0</v>
      </c>
      <c r="L117" s="131" t="s">
        <v>48</v>
      </c>
      <c r="M117" s="131"/>
      <c r="N117" s="131"/>
      <c r="O117" s="131"/>
      <c r="P117" s="131"/>
      <c r="Q117" s="51"/>
      <c r="R117" s="142" t="s">
        <v>30</v>
      </c>
      <c r="S117" s="143"/>
      <c r="T117" s="143"/>
      <c r="U117" s="143"/>
      <c r="V117" s="145">
        <f>V115/V114</f>
        <v>0.73333333333333328</v>
      </c>
      <c r="W117" s="145"/>
      <c r="X117" s="55"/>
      <c r="Y117" s="56" t="b">
        <v>0</v>
      </c>
      <c r="Z117" s="131" t="s">
        <v>48</v>
      </c>
      <c r="AA117" s="131"/>
      <c r="AB117" s="131"/>
      <c r="AC117" s="131"/>
      <c r="AD117" s="131"/>
      <c r="AE117" s="51"/>
      <c r="AF117" s="57" t="b">
        <v>0</v>
      </c>
      <c r="AG117" s="131" t="s">
        <v>48</v>
      </c>
      <c r="AH117" s="131"/>
      <c r="AI117" s="131"/>
      <c r="AJ117" s="51"/>
      <c r="AK117" s="138"/>
      <c r="AL117" s="139"/>
    </row>
    <row r="118" spans="2:38" x14ac:dyDescent="0.3">
      <c r="B118" s="67"/>
      <c r="C118" s="51"/>
      <c r="D118" s="56" t="b">
        <v>1</v>
      </c>
      <c r="E118" s="131" t="s">
        <v>49</v>
      </c>
      <c r="F118" s="131"/>
      <c r="G118" s="131"/>
      <c r="H118" s="131"/>
      <c r="I118" s="131"/>
      <c r="J118" s="51"/>
      <c r="K118" s="56" t="b">
        <v>0</v>
      </c>
      <c r="L118" s="131" t="s">
        <v>49</v>
      </c>
      <c r="M118" s="131"/>
      <c r="N118" s="131"/>
      <c r="O118" s="131"/>
      <c r="P118" s="131"/>
      <c r="Q118" s="51"/>
      <c r="R118" s="55"/>
      <c r="S118" s="55"/>
      <c r="T118" s="55"/>
      <c r="U118" s="55"/>
      <c r="V118" s="55"/>
      <c r="W118" s="55"/>
      <c r="X118" s="55"/>
      <c r="Y118" s="56" t="b">
        <v>0</v>
      </c>
      <c r="Z118" s="131" t="s">
        <v>49</v>
      </c>
      <c r="AA118" s="131"/>
      <c r="AB118" s="131"/>
      <c r="AC118" s="131"/>
      <c r="AD118" s="131"/>
      <c r="AE118" s="51"/>
      <c r="AF118" s="57" t="b">
        <v>0</v>
      </c>
      <c r="AG118" s="131" t="s">
        <v>49</v>
      </c>
      <c r="AH118" s="131"/>
      <c r="AI118" s="131"/>
      <c r="AJ118" s="51"/>
      <c r="AK118" s="138"/>
      <c r="AL118" s="139"/>
    </row>
    <row r="119" spans="2:38" ht="15" thickBot="1" x14ac:dyDescent="0.35">
      <c r="B119" s="59"/>
      <c r="C119" s="60"/>
      <c r="D119" s="59"/>
      <c r="E119" s="61"/>
      <c r="F119" s="61"/>
      <c r="G119" s="61"/>
      <c r="H119" s="61"/>
      <c r="I119" s="61"/>
      <c r="J119" s="60"/>
      <c r="K119" s="59"/>
      <c r="L119" s="61"/>
      <c r="M119" s="61"/>
      <c r="N119" s="61"/>
      <c r="O119" s="61"/>
      <c r="P119" s="61"/>
      <c r="Q119" s="60"/>
      <c r="R119" s="55"/>
      <c r="S119" s="55"/>
      <c r="T119" s="55"/>
      <c r="U119" s="61"/>
      <c r="V119" s="61"/>
      <c r="W119" s="61"/>
      <c r="X119" s="60"/>
      <c r="Y119" s="59"/>
      <c r="Z119" s="61"/>
      <c r="AA119" s="61"/>
      <c r="AB119" s="61"/>
      <c r="AC119" s="61"/>
      <c r="AD119" s="61"/>
      <c r="AE119" s="60"/>
      <c r="AF119" s="59"/>
      <c r="AG119" s="61"/>
      <c r="AH119" s="61"/>
      <c r="AI119" s="61"/>
      <c r="AJ119" s="60"/>
      <c r="AK119" s="140"/>
      <c r="AL119" s="141"/>
    </row>
    <row r="120" spans="2:38" ht="15" thickTop="1" x14ac:dyDescent="0.3">
      <c r="R120" s="49"/>
      <c r="S120" s="49"/>
      <c r="T120" s="49"/>
    </row>
  </sheetData>
  <mergeCells count="336">
    <mergeCell ref="B50:C50"/>
    <mergeCell ref="B51:C51"/>
    <mergeCell ref="B52:C52"/>
    <mergeCell ref="B53:C53"/>
    <mergeCell ref="B47:C47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9:C49"/>
    <mergeCell ref="B3:C4"/>
    <mergeCell ref="B5:C7"/>
    <mergeCell ref="D2:AH8"/>
    <mergeCell ref="B35:C35"/>
    <mergeCell ref="B10:C12"/>
    <mergeCell ref="B24:C24"/>
    <mergeCell ref="B25:C25"/>
    <mergeCell ref="B26:C26"/>
    <mergeCell ref="B27:C28"/>
    <mergeCell ref="B29:C29"/>
    <mergeCell ref="B30:C30"/>
    <mergeCell ref="B31:C31"/>
    <mergeCell ref="B32:C32"/>
    <mergeCell ref="B33:C33"/>
    <mergeCell ref="B34:C34"/>
    <mergeCell ref="AJ11:AL14"/>
    <mergeCell ref="AJ15:AK16"/>
    <mergeCell ref="AJ17:AK18"/>
    <mergeCell ref="AJ19:AK20"/>
    <mergeCell ref="AL15:AL16"/>
    <mergeCell ref="AL17:AL18"/>
    <mergeCell ref="AL19:AL20"/>
    <mergeCell ref="AJ1:AL3"/>
    <mergeCell ref="AJ4:AK4"/>
    <mergeCell ref="AJ5:AK5"/>
    <mergeCell ref="AJ6:AK6"/>
    <mergeCell ref="AL7:AL8"/>
    <mergeCell ref="AJ7:AK8"/>
    <mergeCell ref="AK33:AL33"/>
    <mergeCell ref="AK34:AL34"/>
    <mergeCell ref="AK35:AL35"/>
    <mergeCell ref="AK36:AL36"/>
    <mergeCell ref="AK37:AL37"/>
    <mergeCell ref="AL21:AL22"/>
    <mergeCell ref="AK29:AL29"/>
    <mergeCell ref="AK30:AL30"/>
    <mergeCell ref="AK31:AL31"/>
    <mergeCell ref="AK32:AL32"/>
    <mergeCell ref="AJ21:AK22"/>
    <mergeCell ref="AI28:AL28"/>
    <mergeCell ref="AI24:AL27"/>
    <mergeCell ref="AK46:AL46"/>
    <mergeCell ref="AK47:AL47"/>
    <mergeCell ref="AK38:AL38"/>
    <mergeCell ref="AK39:AL39"/>
    <mergeCell ref="AK40:AL40"/>
    <mergeCell ref="AK41:AL41"/>
    <mergeCell ref="AK42:AL42"/>
    <mergeCell ref="AK43:AL43"/>
    <mergeCell ref="AK44:AL44"/>
    <mergeCell ref="AK45:AL45"/>
    <mergeCell ref="Y61:AE61"/>
    <mergeCell ref="AF60:AJ60"/>
    <mergeCell ref="AF61:AJ61"/>
    <mergeCell ref="B60:C61"/>
    <mergeCell ref="D60:J60"/>
    <mergeCell ref="D61:J61"/>
    <mergeCell ref="K60:Q60"/>
    <mergeCell ref="K61:Q61"/>
    <mergeCell ref="AK48:AL48"/>
    <mergeCell ref="AK49:AL49"/>
    <mergeCell ref="AK50:AL50"/>
    <mergeCell ref="AK51:AL51"/>
    <mergeCell ref="AK52:AL52"/>
    <mergeCell ref="AK58:AL58"/>
    <mergeCell ref="AK53:AL53"/>
    <mergeCell ref="AK54:AL54"/>
    <mergeCell ref="AK55:AL55"/>
    <mergeCell ref="AK56:AL56"/>
    <mergeCell ref="AK57:AL57"/>
    <mergeCell ref="B54:C54"/>
    <mergeCell ref="B55:C55"/>
    <mergeCell ref="B56:C56"/>
    <mergeCell ref="B57:C57"/>
    <mergeCell ref="B48:C48"/>
    <mergeCell ref="E117:I117"/>
    <mergeCell ref="AK83:AL99"/>
    <mergeCell ref="B86:C89"/>
    <mergeCell ref="B102:Q102"/>
    <mergeCell ref="R102:AJ102"/>
    <mergeCell ref="AK102:AL102"/>
    <mergeCell ref="AK60:AL61"/>
    <mergeCell ref="AK62:AL78"/>
    <mergeCell ref="B65:C68"/>
    <mergeCell ref="B81:C82"/>
    <mergeCell ref="D81:J81"/>
    <mergeCell ref="K81:Q81"/>
    <mergeCell ref="R81:X81"/>
    <mergeCell ref="Y81:AE81"/>
    <mergeCell ref="AF81:AJ81"/>
    <mergeCell ref="AK81:AL82"/>
    <mergeCell ref="D82:J82"/>
    <mergeCell ref="K82:Q82"/>
    <mergeCell ref="R82:X82"/>
    <mergeCell ref="Y82:AE82"/>
    <mergeCell ref="AF82:AJ82"/>
    <mergeCell ref="R60:X60"/>
    <mergeCell ref="R61:X61"/>
    <mergeCell ref="Y60:AE60"/>
    <mergeCell ref="E66:I66"/>
    <mergeCell ref="E67:I67"/>
    <mergeCell ref="E68:I68"/>
    <mergeCell ref="E69:I69"/>
    <mergeCell ref="E70:I70"/>
    <mergeCell ref="E71:I71"/>
    <mergeCell ref="B106:C109"/>
    <mergeCell ref="AK103:AL119"/>
    <mergeCell ref="R117:U117"/>
    <mergeCell ref="R114:U114"/>
    <mergeCell ref="R115:U115"/>
    <mergeCell ref="R116:U116"/>
    <mergeCell ref="V114:W114"/>
    <mergeCell ref="V115:W115"/>
    <mergeCell ref="V116:W116"/>
    <mergeCell ref="V117:W117"/>
    <mergeCell ref="R106:X110"/>
    <mergeCell ref="E105:I105"/>
    <mergeCell ref="E106:I106"/>
    <mergeCell ref="E107:I107"/>
    <mergeCell ref="E108:I108"/>
    <mergeCell ref="E109:I109"/>
    <mergeCell ref="E110:I110"/>
    <mergeCell ref="E111:I111"/>
    <mergeCell ref="E72:I72"/>
    <mergeCell ref="E73:I73"/>
    <mergeCell ref="E74:I74"/>
    <mergeCell ref="E75:I75"/>
    <mergeCell ref="E76:I76"/>
    <mergeCell ref="E77:I77"/>
    <mergeCell ref="L63:P63"/>
    <mergeCell ref="L64:P64"/>
    <mergeCell ref="L65:P65"/>
    <mergeCell ref="L66:P66"/>
    <mergeCell ref="L67:P67"/>
    <mergeCell ref="L68:P68"/>
    <mergeCell ref="L69:P69"/>
    <mergeCell ref="L70:P70"/>
    <mergeCell ref="L71:P71"/>
    <mergeCell ref="L72:P72"/>
    <mergeCell ref="L73:P73"/>
    <mergeCell ref="L74:P74"/>
    <mergeCell ref="L75:P75"/>
    <mergeCell ref="L76:P76"/>
    <mergeCell ref="L77:P77"/>
    <mergeCell ref="E63:I63"/>
    <mergeCell ref="E64:I64"/>
    <mergeCell ref="E65:I65"/>
    <mergeCell ref="S63:W63"/>
    <mergeCell ref="S64:W64"/>
    <mergeCell ref="S65:W65"/>
    <mergeCell ref="S66:W66"/>
    <mergeCell ref="S67:W67"/>
    <mergeCell ref="S68:W68"/>
    <mergeCell ref="S69:W69"/>
    <mergeCell ref="S70:W70"/>
    <mergeCell ref="S71:W71"/>
    <mergeCell ref="Z63:AD63"/>
    <mergeCell ref="Z64:AD64"/>
    <mergeCell ref="Z65:AD65"/>
    <mergeCell ref="Z66:AD66"/>
    <mergeCell ref="Z67:AD67"/>
    <mergeCell ref="Z68:AD68"/>
    <mergeCell ref="Z69:AD69"/>
    <mergeCell ref="Z70:AD70"/>
    <mergeCell ref="Z71:AD71"/>
    <mergeCell ref="AG63:AI63"/>
    <mergeCell ref="AG64:AI64"/>
    <mergeCell ref="AG65:AI65"/>
    <mergeCell ref="AG66:AI66"/>
    <mergeCell ref="AG67:AI67"/>
    <mergeCell ref="AG68:AI68"/>
    <mergeCell ref="AG69:AI69"/>
    <mergeCell ref="AG70:AI70"/>
    <mergeCell ref="AG71:AI71"/>
    <mergeCell ref="AG72:AI72"/>
    <mergeCell ref="AG73:AI73"/>
    <mergeCell ref="AG74:AI74"/>
    <mergeCell ref="AG75:AI75"/>
    <mergeCell ref="AG76:AI76"/>
    <mergeCell ref="AG77:AI77"/>
    <mergeCell ref="AG84:AI84"/>
    <mergeCell ref="Z84:AD84"/>
    <mergeCell ref="S84:W84"/>
    <mergeCell ref="S72:W72"/>
    <mergeCell ref="S73:W73"/>
    <mergeCell ref="S74:W74"/>
    <mergeCell ref="S75:W75"/>
    <mergeCell ref="S76:W76"/>
    <mergeCell ref="S77:W77"/>
    <mergeCell ref="Z72:AD72"/>
    <mergeCell ref="Z73:AD73"/>
    <mergeCell ref="Z74:AD74"/>
    <mergeCell ref="Z75:AD75"/>
    <mergeCell ref="Z76:AD76"/>
    <mergeCell ref="Z77:AD77"/>
    <mergeCell ref="AG104:AI104"/>
    <mergeCell ref="E85:I85"/>
    <mergeCell ref="E86:I86"/>
    <mergeCell ref="E87:I87"/>
    <mergeCell ref="E88:I88"/>
    <mergeCell ref="E89:I89"/>
    <mergeCell ref="E90:I90"/>
    <mergeCell ref="E91:I91"/>
    <mergeCell ref="E92:I92"/>
    <mergeCell ref="E93:I93"/>
    <mergeCell ref="E94:I94"/>
    <mergeCell ref="E95:I95"/>
    <mergeCell ref="E96:I96"/>
    <mergeCell ref="E97:I97"/>
    <mergeCell ref="E98:I98"/>
    <mergeCell ref="L85:P85"/>
    <mergeCell ref="L86:P86"/>
    <mergeCell ref="L87:P87"/>
    <mergeCell ref="L88:P88"/>
    <mergeCell ref="L94:P94"/>
    <mergeCell ref="L95:P95"/>
    <mergeCell ref="L96:P96"/>
    <mergeCell ref="L97:P97"/>
    <mergeCell ref="L89:P89"/>
    <mergeCell ref="L84:P84"/>
    <mergeCell ref="E84:I84"/>
    <mergeCell ref="E104:I104"/>
    <mergeCell ref="L104:P104"/>
    <mergeCell ref="Z104:AD104"/>
    <mergeCell ref="Z90:AD90"/>
    <mergeCell ref="Z91:AD91"/>
    <mergeCell ref="Z92:AD92"/>
    <mergeCell ref="Z93:AD93"/>
    <mergeCell ref="L98:P98"/>
    <mergeCell ref="S85:W85"/>
    <mergeCell ref="S86:W86"/>
    <mergeCell ref="S87:W87"/>
    <mergeCell ref="S88:W88"/>
    <mergeCell ref="S89:W89"/>
    <mergeCell ref="S90:W90"/>
    <mergeCell ref="S91:W91"/>
    <mergeCell ref="S92:W92"/>
    <mergeCell ref="S93:W93"/>
    <mergeCell ref="S94:W94"/>
    <mergeCell ref="S95:W95"/>
    <mergeCell ref="S96:W96"/>
    <mergeCell ref="S97:W97"/>
    <mergeCell ref="S98:W98"/>
    <mergeCell ref="L90:P90"/>
    <mergeCell ref="L91:P91"/>
    <mergeCell ref="L92:P92"/>
    <mergeCell ref="L93:P93"/>
    <mergeCell ref="Z94:AD94"/>
    <mergeCell ref="Z95:AD95"/>
    <mergeCell ref="Z96:AD96"/>
    <mergeCell ref="Z97:AD97"/>
    <mergeCell ref="Z98:AD98"/>
    <mergeCell ref="AG94:AI94"/>
    <mergeCell ref="AG95:AI95"/>
    <mergeCell ref="AG96:AI96"/>
    <mergeCell ref="AG97:AI97"/>
    <mergeCell ref="AG98:AI98"/>
    <mergeCell ref="Z85:AD85"/>
    <mergeCell ref="Z86:AD86"/>
    <mergeCell ref="Z87:AD87"/>
    <mergeCell ref="Z88:AD88"/>
    <mergeCell ref="Z89:AD89"/>
    <mergeCell ref="AG85:AI85"/>
    <mergeCell ref="AG86:AI86"/>
    <mergeCell ref="AG87:AI87"/>
    <mergeCell ref="AG88:AI88"/>
    <mergeCell ref="AG89:AI89"/>
    <mergeCell ref="AG90:AI90"/>
    <mergeCell ref="AG91:AI91"/>
    <mergeCell ref="AG92:AI92"/>
    <mergeCell ref="AG93:AI93"/>
    <mergeCell ref="Z110:AD110"/>
    <mergeCell ref="Z111:AD111"/>
    <mergeCell ref="Z112:AD112"/>
    <mergeCell ref="Z113:AD113"/>
    <mergeCell ref="E118:I118"/>
    <mergeCell ref="L105:P105"/>
    <mergeCell ref="L106:P106"/>
    <mergeCell ref="L107:P107"/>
    <mergeCell ref="L108:P108"/>
    <mergeCell ref="L109:P109"/>
    <mergeCell ref="L110:P110"/>
    <mergeCell ref="L111:P111"/>
    <mergeCell ref="L112:P112"/>
    <mergeCell ref="L113:P113"/>
    <mergeCell ref="L114:P114"/>
    <mergeCell ref="L115:P115"/>
    <mergeCell ref="L116:P116"/>
    <mergeCell ref="L117:P117"/>
    <mergeCell ref="L118:P118"/>
    <mergeCell ref="E112:I112"/>
    <mergeCell ref="E113:I113"/>
    <mergeCell ref="E114:I114"/>
    <mergeCell ref="E115:I115"/>
    <mergeCell ref="E116:I116"/>
    <mergeCell ref="Z114:AD114"/>
    <mergeCell ref="Z115:AD115"/>
    <mergeCell ref="Z116:AD116"/>
    <mergeCell ref="Z117:AD117"/>
    <mergeCell ref="Z118:AD118"/>
    <mergeCell ref="AG105:AI105"/>
    <mergeCell ref="AG106:AI106"/>
    <mergeCell ref="AG107:AI107"/>
    <mergeCell ref="AG108:AI108"/>
    <mergeCell ref="AG109:AI109"/>
    <mergeCell ref="AG110:AI110"/>
    <mergeCell ref="AG111:AI111"/>
    <mergeCell ref="AG112:AI112"/>
    <mergeCell ref="AG113:AI113"/>
    <mergeCell ref="AG114:AI114"/>
    <mergeCell ref="AG115:AI115"/>
    <mergeCell ref="AG116:AI116"/>
    <mergeCell ref="AG117:AI117"/>
    <mergeCell ref="AG118:AI118"/>
    <mergeCell ref="Z105:AD105"/>
    <mergeCell ref="Z106:AD106"/>
    <mergeCell ref="Z107:AD107"/>
    <mergeCell ref="Z108:AD108"/>
    <mergeCell ref="Z109:AD109"/>
  </mergeCells>
  <phoneticPr fontId="3" type="noConversion"/>
  <conditionalFormatting sqref="D24:AH24">
    <cfRule type="colorScale" priority="8">
      <colorScale>
        <cfvo type="min"/>
        <cfvo type="max"/>
        <color rgb="FFCFE2F3"/>
        <color rgb="FF83AFD3"/>
      </colorScale>
    </cfRule>
  </conditionalFormatting>
  <conditionalFormatting sqref="D61:AJ61">
    <cfRule type="dataBar" priority="2">
      <dataBar>
        <cfvo type="num" val="0"/>
        <cfvo type="num" val="1"/>
        <color rgb="FF7AA2A9"/>
      </dataBar>
      <extLst>
        <ext xmlns:x14="http://schemas.microsoft.com/office/spreadsheetml/2009/9/main" uri="{B025F937-C7B1-47D3-B67F-A62EFF666E3E}">
          <x14:id>{700BF709-A0D5-49E8-8B9A-19E0D18329BD}</x14:id>
        </ext>
      </extLst>
    </cfRule>
  </conditionalFormatting>
  <conditionalFormatting sqref="D82:AJ82">
    <cfRule type="dataBar" priority="1">
      <dataBar>
        <cfvo type="num" val="0"/>
        <cfvo type="num" val="1"/>
        <color rgb="FF7AA2A9"/>
      </dataBar>
      <extLst>
        <ext xmlns:x14="http://schemas.microsoft.com/office/spreadsheetml/2009/9/main" uri="{B025F937-C7B1-47D3-B67F-A62EFF666E3E}">
          <x14:id>{04EEC099-6896-4D81-8B4E-5838F6351D79}</x14:id>
        </ext>
      </extLst>
    </cfRule>
  </conditionalFormatting>
  <conditionalFormatting sqref="AK29:AL58">
    <cfRule type="expression" dxfId="4" priority="3">
      <formula>A29=100%</formula>
    </cfRule>
    <cfRule type="expression" dxfId="3" priority="4">
      <formula>AND(AJ29&gt;=70%,A29&lt;100%)</formula>
    </cfRule>
    <cfRule type="expression" dxfId="2" priority="5">
      <formula>AND(AJ29&gt;=40%,A29&lt;70%)</formula>
    </cfRule>
    <cfRule type="expression" dxfId="1" priority="6">
      <formula>AND(AJ29&gt;=20%,A29&lt;40%)</formula>
    </cfRule>
    <cfRule type="expression" dxfId="0" priority="7">
      <formula>AND($AJ$29&gt;=0%,$AJ$29&lt;20%)</formula>
    </cfRule>
  </conditionalFormatting>
  <pageMargins left="0.7" right="0.7" top="0.75" bottom="0.75" header="0.3" footer="0.3"/>
  <ignoredErrors>
    <ignoredError sqref="AL5" formula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0BF709-A0D5-49E8-8B9A-19E0D18329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D61:AJ61</xm:sqref>
        </x14:conditionalFormatting>
        <x14:conditionalFormatting xmlns:xm="http://schemas.microsoft.com/office/excel/2006/main">
          <x14:cfRule type="dataBar" id="{04EEC099-6896-4D81-8B4E-5838F6351D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D82:AJ82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Habit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Suzaif Shaikh</dc:creator>
  <cp:lastModifiedBy>Suzaif Shaikh</cp:lastModifiedBy>
  <dcterms:created xsi:type="dcterms:W3CDTF">2026-08-09T10:33:11Z</dcterms:created>
  <dcterms:modified xsi:type="dcterms:W3CDTF">2026-10-03T14:08:58Z</dcterms:modified>
</cp:coreProperties>
</file>